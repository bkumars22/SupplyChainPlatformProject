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wamy\git\selenium-e2mcm\src\test\resources\com\e2open\selenium\e2mcm\data\"/>
    </mc:Choice>
  </mc:AlternateContent>
  <xr:revisionPtr revIDLastSave="0" documentId="13_ncr:1_{F0ACA7F8-6A73-496F-836A-5238005FA3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iceT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4" i="1" l="1"/>
  <c r="AU4" i="1"/>
  <c r="AR4" i="1"/>
  <c r="AO4" i="1"/>
  <c r="AL4" i="1"/>
  <c r="AI4" i="1"/>
  <c r="AF4" i="1"/>
  <c r="AC4" i="1"/>
  <c r="Z4" i="1"/>
  <c r="W4" i="1"/>
  <c r="T4" i="1"/>
  <c r="Q4" i="1"/>
</calcChain>
</file>

<file path=xl/sharedStrings.xml><?xml version="1.0" encoding="utf-8"?>
<sst xmlns="http://schemas.openxmlformats.org/spreadsheetml/2006/main" count="150" uniqueCount="90">
  <si>
    <t>itemIdentifier</t>
  </si>
  <si>
    <t>businessEntity</t>
  </si>
  <si>
    <t>businessEntityType</t>
  </si>
  <si>
    <t>manufacturerPart</t>
  </si>
  <si>
    <t>fromBusinessEntity</t>
  </si>
  <si>
    <t>fgName</t>
  </si>
  <si>
    <t>fgType</t>
  </si>
  <si>
    <t>platform</t>
  </si>
  <si>
    <t>costType</t>
  </si>
  <si>
    <t>site</t>
  </si>
  <si>
    <t>siteTAM</t>
  </si>
  <si>
    <t>pastEffectiveOffset</t>
  </si>
  <si>
    <t>uploadType</t>
  </si>
  <si>
    <t>pastUpdate</t>
  </si>
  <si>
    <t>M1P</t>
  </si>
  <si>
    <t>M1T</t>
  </si>
  <si>
    <t>M1W</t>
  </si>
  <si>
    <t>M2P</t>
  </si>
  <si>
    <t>M2T</t>
  </si>
  <si>
    <t>M2W</t>
  </si>
  <si>
    <t>M3P</t>
  </si>
  <si>
    <t>M3T</t>
  </si>
  <si>
    <t>M3W</t>
  </si>
  <si>
    <t>M4P</t>
  </si>
  <si>
    <t>M4T</t>
  </si>
  <si>
    <t>M4W</t>
  </si>
  <si>
    <t>M5P</t>
  </si>
  <si>
    <t>M5T</t>
  </si>
  <si>
    <t>M5W</t>
  </si>
  <si>
    <t>M6P</t>
  </si>
  <si>
    <t>M6T</t>
  </si>
  <si>
    <t>M6W</t>
  </si>
  <si>
    <t>M7P</t>
  </si>
  <si>
    <t>M7T</t>
  </si>
  <si>
    <t>M7W</t>
  </si>
  <si>
    <t>M8P</t>
  </si>
  <si>
    <t>M8T</t>
  </si>
  <si>
    <t>M8W</t>
  </si>
  <si>
    <t>M9P</t>
  </si>
  <si>
    <t>M9T</t>
  </si>
  <si>
    <t>M9W</t>
  </si>
  <si>
    <t>M10P</t>
  </si>
  <si>
    <t>M10T</t>
  </si>
  <si>
    <t>M10W</t>
  </si>
  <si>
    <t>M11P</t>
  </si>
  <si>
    <t>M11T</t>
  </si>
  <si>
    <t>M11W</t>
  </si>
  <si>
    <t>M12P</t>
  </si>
  <si>
    <t>M12T</t>
  </si>
  <si>
    <t>M12W</t>
  </si>
  <si>
    <t/>
  </si>
  <si>
    <t>Item Number</t>
  </si>
  <si>
    <t>Item Business Entity</t>
  </si>
  <si>
    <t>Item Business Entity Type</t>
  </si>
  <si>
    <t>Manufacturer Part</t>
  </si>
  <si>
    <t>Supplier</t>
  </si>
  <si>
    <t>FG Name</t>
  </si>
  <si>
    <t>FG Type</t>
  </si>
  <si>
    <t>Platform</t>
  </si>
  <si>
    <t>Cost Type</t>
  </si>
  <si>
    <t>Destination Site Price</t>
  </si>
  <si>
    <t>Site TAM</t>
  </si>
  <si>
    <t>Price Effective Offset</t>
  </si>
  <si>
    <t>Update Type</t>
  </si>
  <si>
    <t>Price/TAM Backdate/Change Flag</t>
  </si>
  <si>
    <t>Price</t>
  </si>
  <si>
    <t>TAM</t>
  </si>
  <si>
    <t>WAP</t>
  </si>
  <si>
    <t>DELL</t>
  </si>
  <si>
    <t>ENTERPRISE</t>
  </si>
  <si>
    <t>XLOB</t>
  </si>
  <si>
    <t>SERCOM desc</t>
  </si>
  <si>
    <t>PriceTAM210105151516</t>
  </si>
  <si>
    <t>XLOBPriceTAM210105151443</t>
  </si>
  <si>
    <t>BUY</t>
  </si>
  <si>
    <t>WW</t>
  </si>
  <si>
    <t>ALL</t>
  </si>
  <si>
    <t>Y</t>
  </si>
  <si>
    <t>FY2022FQ02FM06
(M1)
26 Jun 2021</t>
  </si>
  <si>
    <t>FY2022FQ03FM07
(M2)
31 Jul 2021</t>
  </si>
  <si>
    <t>FY2022FQ03FM08
(M3)
28 Aug 2021</t>
  </si>
  <si>
    <t>FY2022FQ03FM09
(M4)
25 Sep 2021</t>
  </si>
  <si>
    <t>FY2022FQ04FM10
(M5)
30 Oct 2021</t>
  </si>
  <si>
    <t>FY2022FQ04FM11
(M6)
27 Nov 2021</t>
  </si>
  <si>
    <t>FY2022FQ04FM12
(M7)
25 Dec 2021</t>
  </si>
  <si>
    <t>FY2023FQ01FM01
(M8)
29 Jan 2022</t>
  </si>
  <si>
    <t>FY2023FQ01FM02
(M9)
26 Feb 2022</t>
  </si>
  <si>
    <t>FY2023FQ01FM03
(M10)
26 Mar 2022</t>
  </si>
  <si>
    <t>FY2023FQ02FM04
(M11)
30 Apr 2022</t>
  </si>
  <si>
    <t>FY2023FQ02FM05
(M12)
28 May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</si>
</sst>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"/>
  <sheetViews>
    <sheetView tabSelected="1" topLeftCell="AB2" workbookViewId="0">
      <selection activeCell="AQ17" sqref="AQ17"/>
    </sheetView>
  </sheetViews>
  <sheetFormatPr defaultRowHeight="14.4" x14ac:dyDescent="0.3"/>
  <sheetData>
    <row r="1" spans="1:50" ht="14.4" hidden="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s="1" customFormat="1" ht="49.95" customHeight="1" x14ac:dyDescent="0.3">
      <c r="O2" s="4" t="s">
        <v>78</v>
      </c>
      <c r="P2" s="4" t="s">
        <v>50</v>
      </c>
      <c r="Q2" s="4" t="s">
        <v>50</v>
      </c>
      <c r="R2" s="4" t="s">
        <v>79</v>
      </c>
      <c r="S2" s="4" t="s">
        <v>50</v>
      </c>
      <c r="T2" s="4" t="s">
        <v>50</v>
      </c>
      <c r="U2" s="4" t="s">
        <v>80</v>
      </c>
      <c r="V2" s="4" t="s">
        <v>50</v>
      </c>
      <c r="W2" s="4" t="s">
        <v>50</v>
      </c>
      <c r="X2" s="5" t="s">
        <v>81</v>
      </c>
      <c r="Y2" s="5" t="s">
        <v>50</v>
      </c>
      <c r="Z2" s="5" t="s">
        <v>50</v>
      </c>
      <c r="AA2" s="5" t="s">
        <v>82</v>
      </c>
      <c r="AB2" s="5" t="s">
        <v>50</v>
      </c>
      <c r="AC2" s="5" t="s">
        <v>50</v>
      </c>
      <c r="AD2" s="5" t="s">
        <v>83</v>
      </c>
      <c r="AE2" s="5" t="s">
        <v>50</v>
      </c>
      <c r="AF2" s="5" t="s">
        <v>50</v>
      </c>
      <c r="AG2" s="5" t="s">
        <v>84</v>
      </c>
      <c r="AH2" s="5" t="s">
        <v>50</v>
      </c>
      <c r="AI2" s="5" t="s">
        <v>50</v>
      </c>
      <c r="AJ2" s="5" t="s">
        <v>85</v>
      </c>
      <c r="AK2" s="5" t="s">
        <v>50</v>
      </c>
      <c r="AL2" s="5" t="s">
        <v>50</v>
      </c>
      <c r="AM2" s="5" t="s">
        <v>86</v>
      </c>
      <c r="AN2" s="5" t="s">
        <v>50</v>
      </c>
      <c r="AO2" s="5" t="s">
        <v>50</v>
      </c>
      <c r="AP2" s="5" t="s">
        <v>87</v>
      </c>
      <c r="AQ2" s="5" t="s">
        <v>50</v>
      </c>
      <c r="AR2" s="5" t="s">
        <v>50</v>
      </c>
      <c r="AS2" s="5" t="s">
        <v>88</v>
      </c>
      <c r="AT2" s="5" t="s">
        <v>50</v>
      </c>
      <c r="AU2" s="5" t="s">
        <v>50</v>
      </c>
      <c r="AV2" s="5" t="s">
        <v>89</v>
      </c>
      <c r="AW2" s="5" t="s">
        <v>50</v>
      </c>
      <c r="AX2" s="5" t="s">
        <v>50</v>
      </c>
    </row>
    <row r="3" spans="1:50" s="1" customFormat="1" x14ac:dyDescent="0.3">
      <c r="A3" s="3" t="s">
        <v>51</v>
      </c>
      <c r="B3" s="3" t="s">
        <v>52</v>
      </c>
      <c r="C3" s="3" t="s">
        <v>53</v>
      </c>
      <c r="D3" s="3" t="s">
        <v>54</v>
      </c>
      <c r="E3" s="3" t="s">
        <v>55</v>
      </c>
      <c r="F3" s="3" t="s">
        <v>56</v>
      </c>
      <c r="G3" s="3" t="s">
        <v>57</v>
      </c>
      <c r="H3" s="3" t="s">
        <v>58</v>
      </c>
      <c r="I3" s="3" t="s">
        <v>59</v>
      </c>
      <c r="J3" s="3" t="s">
        <v>60</v>
      </c>
      <c r="K3" s="3" t="s">
        <v>61</v>
      </c>
      <c r="L3" s="3" t="s">
        <v>62</v>
      </c>
      <c r="M3" s="3" t="s">
        <v>63</v>
      </c>
      <c r="N3" s="3" t="s">
        <v>64</v>
      </c>
      <c r="O3" s="2" t="s">
        <v>65</v>
      </c>
      <c r="P3" s="2" t="s">
        <v>66</v>
      </c>
      <c r="Q3" s="2" t="s">
        <v>67</v>
      </c>
      <c r="R3" s="2" t="s">
        <v>65</v>
      </c>
      <c r="S3" s="2" t="s">
        <v>66</v>
      </c>
      <c r="T3" s="2" t="s">
        <v>67</v>
      </c>
      <c r="U3" s="2" t="s">
        <v>65</v>
      </c>
      <c r="V3" s="2" t="s">
        <v>66</v>
      </c>
      <c r="W3" s="2" t="s">
        <v>67</v>
      </c>
      <c r="X3" s="3" t="s">
        <v>65</v>
      </c>
      <c r="Y3" s="3" t="s">
        <v>66</v>
      </c>
      <c r="Z3" s="3" t="s">
        <v>67</v>
      </c>
      <c r="AA3" s="3" t="s">
        <v>65</v>
      </c>
      <c r="AB3" s="3" t="s">
        <v>66</v>
      </c>
      <c r="AC3" s="3" t="s">
        <v>67</v>
      </c>
      <c r="AD3" s="3" t="s">
        <v>65</v>
      </c>
      <c r="AE3" s="3" t="s">
        <v>66</v>
      </c>
      <c r="AF3" s="3" t="s">
        <v>67</v>
      </c>
      <c r="AG3" s="3" t="s">
        <v>65</v>
      </c>
      <c r="AH3" s="3" t="s">
        <v>66</v>
      </c>
      <c r="AI3" s="3" t="s">
        <v>67</v>
      </c>
      <c r="AJ3" s="3" t="s">
        <v>65</v>
      </c>
      <c r="AK3" s="3" t="s">
        <v>66</v>
      </c>
      <c r="AL3" s="3" t="s">
        <v>67</v>
      </c>
      <c r="AM3" s="3" t="s">
        <v>65</v>
      </c>
      <c r="AN3" s="3" t="s">
        <v>66</v>
      </c>
      <c r="AO3" s="3" t="s">
        <v>67</v>
      </c>
      <c r="AP3" s="3" t="s">
        <v>65</v>
      </c>
      <c r="AQ3" s="3" t="s">
        <v>66</v>
      </c>
      <c r="AR3" s="3" t="s">
        <v>67</v>
      </c>
      <c r="AS3" s="3" t="s">
        <v>65</v>
      </c>
      <c r="AT3" s="3" t="s">
        <v>66</v>
      </c>
      <c r="AU3" s="3" t="s">
        <v>67</v>
      </c>
      <c r="AV3" s="3" t="s">
        <v>65</v>
      </c>
      <c r="AW3" s="3" t="s">
        <v>66</v>
      </c>
      <c r="AX3" s="3" t="s">
        <v>67</v>
      </c>
    </row>
    <row r="4" spans="1:50" x14ac:dyDescent="0.3">
      <c r="A4" s="1" t="s">
        <v>72</v>
      </c>
      <c r="B4" s="1" t="s">
        <v>68</v>
      </c>
      <c r="C4" s="1" t="s">
        <v>69</v>
      </c>
      <c r="D4" s="1" t="s">
        <v>50</v>
      </c>
      <c r="E4" s="1" t="s">
        <v>71</v>
      </c>
      <c r="F4" s="1" t="s">
        <v>73</v>
      </c>
      <c r="G4" s="1" t="s">
        <v>70</v>
      </c>
      <c r="H4" s="1" t="s">
        <v>50</v>
      </c>
      <c r="I4" s="1" t="s">
        <v>74</v>
      </c>
      <c r="J4" s="1" t="s">
        <v>75</v>
      </c>
      <c r="K4" s="1" t="s">
        <v>75</v>
      </c>
      <c r="L4" s="1" t="s">
        <v>50</v>
      </c>
      <c r="M4" s="1" t="s">
        <v>76</v>
      </c>
      <c r="N4" s="1" t="s">
        <v>77</v>
      </c>
      <c r="O4" s="1">
        <v>34</v>
      </c>
      <c r="P4" s="1">
        <v>100</v>
      </c>
      <c r="Q4" s="1">
        <f>IFERROR(SUMPRODUCT(--($F$1:$F$2999=$F4)*($K$1:$K$2999=$K4),O$1:O$2999,P$1:P$2999)/SUMIFS(P$1:P$2999,$F$1:$F$2999,$F4,$K$1:$K$2999,$K4),"")</f>
        <v>34</v>
      </c>
      <c r="R4" s="1">
        <v>20</v>
      </c>
      <c r="S4" s="1">
        <v>100</v>
      </c>
      <c r="T4" s="1">
        <f>IFERROR(SUMPRODUCT(--($F$1:$F$2999=$F4)*($K$1:$K$2999=$K4),R$1:R$2999,S$1:S$2999)/SUMIFS(S$1:S$2999,$F$1:$F$2999,$F4,$K$1:$K$2999,$K4),"")</f>
        <v>20</v>
      </c>
      <c r="U4" s="1">
        <v>45.4</v>
      </c>
      <c r="V4" s="1">
        <v>100</v>
      </c>
      <c r="W4" s="1">
        <f>IFERROR(SUMPRODUCT(--($F$1:$F$2999=$F4)*($K$1:$K$2999=$K4),U$1:U$2999,V$1:V$2999)/SUMIFS(V$1:V$2999,$F$1:$F$2999,$F4,$K$1:$K$2999,$K4),"")</f>
        <v>45.4</v>
      </c>
      <c r="X4" s="1">
        <v>34</v>
      </c>
      <c r="Y4" s="1">
        <v>100</v>
      </c>
      <c r="Z4" s="1">
        <f>IFERROR(SUMPRODUCT(--($F$1:$F$2999=$F4)*($K$1:$K$2999=$K4),X$1:X$2999,Y$1:Y$2999)/SUMIFS(Y$1:Y$2999,$F$1:$F$2999,$F4,$K$1:$K$2999,$K4),"")</f>
        <v>34</v>
      </c>
      <c r="AA4" s="1">
        <v>34</v>
      </c>
      <c r="AB4" s="1">
        <v>100</v>
      </c>
      <c r="AC4" s="1">
        <f>IFERROR(SUMPRODUCT(--($F$1:$F$2999=$F4)*($K$1:$K$2999=$K4),AA$1:AA$2999,AB$1:AB$2999)/SUMIFS(AB$1:AB$2999,$F$1:$F$2999,$F4,$K$1:$K$2999,$K4),"")</f>
        <v>34</v>
      </c>
      <c r="AD4" s="1">
        <v>34</v>
      </c>
      <c r="AE4" s="1">
        <v>100</v>
      </c>
      <c r="AF4" s="1">
        <f>IFERROR(SUMPRODUCT(--($F$1:$F$2999=$F4)*($K$1:$K$2999=$K4),AD$1:AD$2999,AE$1:AE$2999)/SUMIFS(AE$1:AE$2999,$F$1:$F$2999,$F4,$K$1:$K$2999,$K4),"")</f>
        <v>34</v>
      </c>
      <c r="AG4" s="1">
        <v>56</v>
      </c>
      <c r="AH4" s="1">
        <v>100</v>
      </c>
      <c r="AI4" s="1">
        <f>IFERROR(SUMPRODUCT(--($F$1:$F$2999=$F4)*($K$1:$K$2999=$K4),AG$1:AG$2999,AH$1:AH$2999)/SUMIFS(AH$1:AH$2999,$F$1:$F$2999,$F4,$K$1:$K$2999,$K4),"")</f>
        <v>56</v>
      </c>
      <c r="AJ4" s="1">
        <v>56</v>
      </c>
      <c r="AK4" s="1">
        <v>100</v>
      </c>
      <c r="AL4" s="1">
        <f>IFERROR(SUMPRODUCT(--($F$1:$F$2999=$F4)*($K$1:$K$2999=$K4),AJ$1:AJ$2999,AK$1:AK$2999)/SUMIFS(AK$1:AK$2999,$F$1:$F$2999,$F4,$K$1:$K$2999,$K4),"")</f>
        <v>56</v>
      </c>
      <c r="AM4" s="1">
        <v>56</v>
      </c>
      <c r="AN4" s="1">
        <v>100</v>
      </c>
      <c r="AO4" s="1">
        <f>IFERROR(SUMPRODUCT(--($F$1:$F$2999=$F4)*($K$1:$K$2999=$K4),AM$1:AM$2999,AN$1:AN$2999)/SUMIFS(AN$1:AN$2999,$F$1:$F$2999,$F4,$K$1:$K$2999,$K4),"")</f>
        <v>56</v>
      </c>
      <c r="AP4" s="1">
        <v>56</v>
      </c>
      <c r="AQ4" s="1">
        <v>100</v>
      </c>
      <c r="AR4" s="1">
        <f>IFERROR(SUMPRODUCT(--($F$1:$F$2999=$F4)*($K$1:$K$2999=$K4),AP$1:AP$2999,AQ$1:AQ$2999)/SUMIFS(AQ$1:AQ$2999,$F$1:$F$2999,$F4,$K$1:$K$2999,$K4),"")</f>
        <v>56</v>
      </c>
      <c r="AS4" s="1">
        <v>45</v>
      </c>
      <c r="AT4" s="1">
        <v>100</v>
      </c>
      <c r="AU4" s="1">
        <f>IFERROR(SUMPRODUCT(--($F$1:$F$2999=$F4)*($K$1:$K$2999=$K4),AS$1:AS$2999,AT$1:AT$2999)/SUMIFS(AT$1:AT$2999,$F$1:$F$2999,$F4,$K$1:$K$2999,$K4),"")</f>
        <v>45</v>
      </c>
      <c r="AV4" s="1">
        <v>45</v>
      </c>
      <c r="AW4" s="1">
        <v>100</v>
      </c>
      <c r="AX4" s="1">
        <f>IFERROR(SUMPRODUCT(--($F$1:$F$2999=$F4)*($K$1:$K$2999=$K4),AV$1:AV$2999,AW$1:AW$2999)/SUMIFS(AW$1:AW$2999,$F$1:$F$2999,$F4,$K$1:$K$2999,$K4),"")</f>
        <v>45</v>
      </c>
    </row>
  </sheetData>
  <mergeCells count="12">
    <mergeCell ref="AS2:AU2"/>
    <mergeCell ref="AV2:AX2"/>
    <mergeCell ref="AD2:AF2"/>
    <mergeCell ref="AG2:AI2"/>
    <mergeCell ref="AJ2:AL2"/>
    <mergeCell ref="AM2:AO2"/>
    <mergeCell ref="AP2:AR2"/>
    <mergeCell ref="O2:Q2"/>
    <mergeCell ref="R2:T2"/>
    <mergeCell ref="U2:W2"/>
    <mergeCell ref="X2:Z2"/>
    <mergeCell ref="AA2:A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PriceTAM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Kumaraswamy</cp:lastModifiedBy>
  <dcterms:created xsi:type="dcterms:W3CDTF">2021-05-11T02:59:13Z</dcterms:created>
  <dcterms:modified xsi:type="dcterms:W3CDTF">2021-06-28T06:31:37Z</dcterms:modified>
</cp:coreProperties>
</file>