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2A71EB9D-2FF9-48DE-BDBC-938DB2CB0D26}" xr6:coauthVersionLast="47" xr6:coauthVersionMax="47" xr10:uidLastSave="{00000000-0000-0000-0000-000000000000}"/>
  <bookViews>
    <workbookView xWindow="-110" yWindow="-110" windowWidth="19420" windowHeight="10300" xr2:uid="{19E1EBB7-9779-4FA6-BE0F-C2CB297D677C}"/>
  </bookViews>
  <sheets>
    <sheet name="Co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C3" i="1"/>
</calcChain>
</file>

<file path=xl/sharedStrings.xml><?xml version="1.0" encoding="utf-8"?>
<sst xmlns="http://schemas.openxmlformats.org/spreadsheetml/2006/main" count="154" uniqueCount="131">
  <si>
    <t>ParentFunctionalGroups</t>
  </si>
  <si>
    <t>FunctionalGroups</t>
  </si>
  <si>
    <t>FGType</t>
  </si>
  <si>
    <t>ItemIdentifier</t>
  </si>
  <si>
    <t>ItemDescription</t>
  </si>
  <si>
    <t>BusinessEntity</t>
  </si>
  <si>
    <t>BusinessEntityType</t>
  </si>
  <si>
    <t>LifeCycleCode</t>
  </si>
  <si>
    <t>FromBusinessEntity</t>
  </si>
  <si>
    <t>FromBusinessEntityType</t>
  </si>
  <si>
    <t>FromSite</t>
  </si>
  <si>
    <t>MRPSite</t>
  </si>
  <si>
    <t>Site</t>
  </si>
  <si>
    <t>CostBusinessEntity</t>
  </si>
  <si>
    <t>CostBusinessEntityType</t>
  </si>
  <si>
    <t>DateOffset</t>
  </si>
  <si>
    <t>CurrencyCode</t>
  </si>
  <si>
    <t>EffectiveFromDate</t>
  </si>
  <si>
    <t>EffectiveToDate</t>
  </si>
  <si>
    <t>EndDatesRequired</t>
  </si>
  <si>
    <t>Status</t>
  </si>
  <si>
    <t>Action</t>
  </si>
  <si>
    <t>Expire</t>
  </si>
  <si>
    <t>CostType</t>
  </si>
  <si>
    <t>PricingScenario</t>
  </si>
  <si>
    <t>FromRange</t>
  </si>
  <si>
    <t>ToRange</t>
  </si>
  <si>
    <t>IsActive</t>
  </si>
  <si>
    <t>TotalPrice</t>
  </si>
  <si>
    <t>MATERIAL</t>
  </si>
  <si>
    <t>TRANSPORTATION</t>
  </si>
  <si>
    <t>AIR_Value</t>
  </si>
  <si>
    <t>AIR_Percent</t>
  </si>
  <si>
    <t>SEA_Value</t>
  </si>
  <si>
    <t>SEA_Percent</t>
  </si>
  <si>
    <t>LAND_Value</t>
  </si>
  <si>
    <t>LAND_Percent</t>
  </si>
  <si>
    <t>SLC</t>
  </si>
  <si>
    <t>WARRANTY</t>
  </si>
  <si>
    <t>COM</t>
  </si>
  <si>
    <t>TRANSFORMATION</t>
  </si>
  <si>
    <t>PACKAGING</t>
  </si>
  <si>
    <t>NRE</t>
  </si>
  <si>
    <t>TOOLING</t>
  </si>
  <si>
    <t>ROIC</t>
  </si>
  <si>
    <t>HMF</t>
  </si>
  <si>
    <t>INSURANCE</t>
  </si>
  <si>
    <t>LABOR</t>
  </si>
  <si>
    <t>OTHER</t>
  </si>
  <si>
    <t>SGA</t>
  </si>
  <si>
    <t>PRODUCTIONResponsibility</t>
  </si>
  <si>
    <t>SERVICEResponsibility</t>
  </si>
  <si>
    <t>Comment</t>
  </si>
  <si>
    <t>ReasonCode</t>
  </si>
  <si>
    <t>SystemAction</t>
  </si>
  <si>
    <t>ProjectName</t>
  </si>
  <si>
    <t>DataSource</t>
  </si>
  <si>
    <t>stringAttribute1</t>
  </si>
  <si>
    <t>stringAttribute2</t>
  </si>
  <si>
    <t>stringAttribute5</t>
  </si>
  <si>
    <t>stringAttribute7</t>
  </si>
  <si>
    <t>numberAttribute1</t>
  </si>
  <si>
    <t>dateAttribute1</t>
  </si>
  <si>
    <t>floatAttribute1</t>
  </si>
  <si>
    <t>Parent Functional Group</t>
  </si>
  <si>
    <t>Functional Group</t>
  </si>
  <si>
    <t>FG Type</t>
  </si>
  <si>
    <t>Item</t>
  </si>
  <si>
    <t>Item Description</t>
  </si>
  <si>
    <t>Item Business Entity</t>
  </si>
  <si>
    <t>Item Business Entity Type</t>
  </si>
  <si>
    <t>Product State</t>
  </si>
  <si>
    <t>Supplier</t>
  </si>
  <si>
    <t>Supplier Entity Type</t>
  </si>
  <si>
    <t>Source Site</t>
  </si>
  <si>
    <t>MRP Site</t>
  </si>
  <si>
    <t>Destination Site</t>
  </si>
  <si>
    <t>Cost Provider</t>
  </si>
  <si>
    <t>Cost Provider Entity Type</t>
  </si>
  <si>
    <t>Offset in Days</t>
  </si>
  <si>
    <t>Currency</t>
  </si>
  <si>
    <t>Start Date</t>
  </si>
  <si>
    <t>End Date</t>
  </si>
  <si>
    <t>End Date Required</t>
  </si>
  <si>
    <t>Cost Status</t>
  </si>
  <si>
    <t>Cost Record Action</t>
  </si>
  <si>
    <t>Expire Cost Record</t>
  </si>
  <si>
    <t>Cost Type</t>
  </si>
  <si>
    <t>Pricing Scenario</t>
  </si>
  <si>
    <t>From Range</t>
  </si>
  <si>
    <t>To Range</t>
  </si>
  <si>
    <t>Is Active</t>
  </si>
  <si>
    <t>Total Price</t>
  </si>
  <si>
    <t>MATERIAL*</t>
  </si>
  <si>
    <t>Blended Transportation</t>
  </si>
  <si>
    <t>Air Value</t>
  </si>
  <si>
    <t>Air %</t>
  </si>
  <si>
    <t>Sea Value</t>
  </si>
  <si>
    <t>Sea %</t>
  </si>
  <si>
    <t>Land Value</t>
  </si>
  <si>
    <t>Land %</t>
  </si>
  <si>
    <t>PRODUCTION Responsibility</t>
  </si>
  <si>
    <t>SERVICE Responsibility</t>
  </si>
  <si>
    <t>Reason Code</t>
  </si>
  <si>
    <t>System Action</t>
  </si>
  <si>
    <t>Project Name</t>
  </si>
  <si>
    <t>Source System</t>
  </si>
  <si>
    <t>String1</t>
  </si>
  <si>
    <t>MPN</t>
  </si>
  <si>
    <t>Record Source</t>
  </si>
  <si>
    <t>String7</t>
  </si>
  <si>
    <t>Number1</t>
  </si>
  <si>
    <t>Date1</t>
  </si>
  <si>
    <t>Float1</t>
  </si>
  <si>
    <t>CFG</t>
  </si>
  <si>
    <t>INFO,MKTG GNRC SKU TO PN REF</t>
  </si>
  <si>
    <t>DELL</t>
  </si>
  <si>
    <t>ENTERPRISE</t>
  </si>
  <si>
    <t>PRODUCTION</t>
  </si>
  <si>
    <t/>
  </si>
  <si>
    <t>WW</t>
  </si>
  <si>
    <t>N</t>
  </si>
  <si>
    <t>CLOSED</t>
  </si>
  <si>
    <t>jessica_sh_ho_gcm</t>
  </si>
  <si>
    <t>NEW PART</t>
  </si>
  <si>
    <t>CRPG250519174624</t>
  </si>
  <si>
    <t>CRGrp250519174624</t>
  </si>
  <si>
    <t>CR250519174624</t>
  </si>
  <si>
    <t>Enterprise</t>
  </si>
  <si>
    <t>BUY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</si>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</sst>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####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  <xf numFmtId="0" fontId="0" fillId="0" borderId="0" xfId="0" applyNumberFormat="1" applyFont="1" applyFill="1" applyBorder="1" applyAlignment="1" applyProtection="1">
      <alignment vertical="top"/>
      <protection locked="0"/>
    </xf>
    <xf numFmtId="14" fontId="0" fillId="0" borderId="0" xfId="0" applyNumberFormat="1" applyFont="1" applyFill="1" applyBorder="1" applyAlignment="1" applyProtection="1">
      <alignment vertical="top"/>
      <protection locked="0"/>
    </xf>
    <xf numFmtId="164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 applyProtection="1">
      <alignment vertical="top"/>
      <protection locked="0"/>
    </xf>
    <xf numFmtId="2" fontId="0" fillId="0" borderId="0" xfId="0" applyNumberFormat="1" applyFont="1" applyFill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6FFF-1C88-4199-9483-5B2F46D76892}">
  <dimension ref="A1:BL3"/>
  <sheetViews>
    <sheetView tabSelected="1" topLeftCell="AT2" zoomScaleNormal="100" workbookViewId="0">
      <selection activeCell="BG14" sqref="BG14"/>
    </sheetView>
  </sheetViews>
  <sheetFormatPr defaultRowHeight="12.5" x14ac:dyDescent="0.25"/>
  <cols>
    <col min="18" max="19" width="8.90625" bestFit="1" customWidth="1"/>
  </cols>
  <sheetData>
    <row r="1" spans="1:64" ht="409.6" hidden="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ht="50" x14ac:dyDescent="0.25">
      <c r="A2" s="2" t="s">
        <v>64</v>
      </c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76</v>
      </c>
      <c r="N2" s="2" t="s">
        <v>77</v>
      </c>
      <c r="O2" s="2" t="s">
        <v>78</v>
      </c>
      <c r="P2" s="2" t="s">
        <v>79</v>
      </c>
      <c r="Q2" s="2" t="s">
        <v>80</v>
      </c>
      <c r="R2" s="2" t="s">
        <v>81</v>
      </c>
      <c r="S2" s="2" t="s">
        <v>82</v>
      </c>
      <c r="T2" s="2" t="s">
        <v>83</v>
      </c>
      <c r="U2" s="2" t="s">
        <v>84</v>
      </c>
      <c r="V2" s="2" t="s">
        <v>85</v>
      </c>
      <c r="W2" s="2" t="s">
        <v>86</v>
      </c>
      <c r="X2" s="2" t="s">
        <v>87</v>
      </c>
      <c r="Y2" s="2" t="s">
        <v>88</v>
      </c>
      <c r="Z2" s="2" t="s">
        <v>89</v>
      </c>
      <c r="AA2" s="2" t="s">
        <v>90</v>
      </c>
      <c r="AB2" s="2" t="s">
        <v>91</v>
      </c>
      <c r="AC2" s="2" t="s">
        <v>92</v>
      </c>
      <c r="AD2" s="2" t="s">
        <v>93</v>
      </c>
      <c r="AE2" s="2" t="s">
        <v>94</v>
      </c>
      <c r="AF2" s="2" t="s">
        <v>95</v>
      </c>
      <c r="AG2" s="2" t="s">
        <v>96</v>
      </c>
      <c r="AH2" s="2" t="s">
        <v>97</v>
      </c>
      <c r="AI2" s="2" t="s">
        <v>98</v>
      </c>
      <c r="AJ2" s="2" t="s">
        <v>99</v>
      </c>
      <c r="AK2" s="2" t="s">
        <v>100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1" t="s">
        <v>101</v>
      </c>
      <c r="AZ2" s="1" t="s">
        <v>102</v>
      </c>
      <c r="BA2" s="2" t="s">
        <v>52</v>
      </c>
      <c r="BB2" s="2" t="s">
        <v>103</v>
      </c>
      <c r="BC2" s="2" t="s">
        <v>104</v>
      </c>
      <c r="BD2" s="2" t="s">
        <v>105</v>
      </c>
      <c r="BE2" s="2" t="s">
        <v>106</v>
      </c>
      <c r="BF2" s="1" t="s">
        <v>107</v>
      </c>
      <c r="BG2" s="1" t="s">
        <v>108</v>
      </c>
      <c r="BH2" s="1" t="s">
        <v>109</v>
      </c>
      <c r="BI2" s="1" t="s">
        <v>110</v>
      </c>
      <c r="BJ2" s="1" t="s">
        <v>111</v>
      </c>
      <c r="BK2" s="1" t="s">
        <v>112</v>
      </c>
      <c r="BL2" s="1" t="s">
        <v>113</v>
      </c>
    </row>
    <row r="3" spans="1:64" x14ac:dyDescent="0.25">
      <c r="A3" s="2" t="s">
        <v>125</v>
      </c>
      <c r="B3" s="2" t="s">
        <v>126</v>
      </c>
      <c r="C3" s="2" t="s">
        <v>114</v>
      </c>
      <c r="D3" s="2" t="s">
        <v>127</v>
      </c>
      <c r="E3" s="2" t="s">
        <v>115</v>
      </c>
      <c r="F3" s="2" t="s">
        <v>116</v>
      </c>
      <c r="G3" s="2" t="s">
        <v>117</v>
      </c>
      <c r="H3" s="2" t="s">
        <v>118</v>
      </c>
      <c r="I3" s="2" t="s">
        <v>116</v>
      </c>
      <c r="J3" s="2" t="s">
        <v>128</v>
      </c>
      <c r="K3" s="2" t="s">
        <v>129</v>
      </c>
      <c r="L3" s="2"/>
      <c r="M3" s="2" t="s">
        <v>120</v>
      </c>
      <c r="N3" s="2" t="s">
        <v>119</v>
      </c>
      <c r="O3" s="2" t="s">
        <v>119</v>
      </c>
      <c r="P3" s="2">
        <v>0</v>
      </c>
      <c r="Q3" s="2" t="s">
        <v>130</v>
      </c>
      <c r="R3" s="3">
        <v>45796.851233506946</v>
      </c>
      <c r="S3" s="3">
        <v>45796.851233506946</v>
      </c>
      <c r="T3" s="2"/>
      <c r="U3" s="2" t="s">
        <v>122</v>
      </c>
      <c r="V3" s="2" t="s">
        <v>119</v>
      </c>
      <c r="W3" s="2" t="s">
        <v>119</v>
      </c>
      <c r="X3" s="2" t="s">
        <v>129</v>
      </c>
      <c r="Y3" s="2"/>
      <c r="Z3" s="2" t="s">
        <v>119</v>
      </c>
      <c r="AA3" s="2" t="s">
        <v>119</v>
      </c>
      <c r="AB3" s="2" t="s">
        <v>121</v>
      </c>
      <c r="AC3" s="4">
        <f>AD3+AE3+AL3+AM3+AN3+AO3+AP3+AQ3+AR3+AS3+AT3+AU3+AV3+AW3+AX3</f>
        <v>60</v>
      </c>
      <c r="AD3" s="5">
        <v>60</v>
      </c>
      <c r="AE3" s="4">
        <f>ROUND(AF3/100*AG3,6)+ROUND(AH3/100*AI3,6)+ROUND(AJ3/100*AK3,6)</f>
        <v>0</v>
      </c>
      <c r="AF3" s="5"/>
      <c r="AG3" s="6"/>
      <c r="AH3" s="5"/>
      <c r="AI3" s="6"/>
      <c r="AJ3" s="5"/>
      <c r="AK3" s="6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2" t="s">
        <v>123</v>
      </c>
      <c r="AZ3" s="2" t="s">
        <v>119</v>
      </c>
      <c r="BA3" s="2"/>
      <c r="BB3" s="2" t="s">
        <v>124</v>
      </c>
      <c r="BC3" s="2"/>
      <c r="BD3" s="2"/>
      <c r="BE3" s="2" t="s">
        <v>116</v>
      </c>
      <c r="BF3" s="1"/>
      <c r="BG3" s="1"/>
      <c r="BH3" s="1"/>
      <c r="BI3" s="1"/>
      <c r="BJ3" s="1">
        <v>1</v>
      </c>
      <c r="BK3" s="1"/>
      <c r="BL3" s="1"/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Kumaraswamy</cp:lastModifiedBy>
  <dcterms:created xsi:type="dcterms:W3CDTF">2026-03-10T07:27:15Z</dcterms:created>
  <dcterms:modified xsi:type="dcterms:W3CDTF">2026-03-10T07:27:15Z</dcterms:modified>
</cp:coreProperties>
</file>