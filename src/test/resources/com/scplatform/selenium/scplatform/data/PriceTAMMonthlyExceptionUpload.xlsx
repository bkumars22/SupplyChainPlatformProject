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79763352-5585-4155-B398-9905B39D4313}" xr6:coauthVersionLast="47" xr6:coauthVersionMax="47" xr10:uidLastSave="{00000000-0000-0000-0000-000000000000}"/>
  <bookViews>
    <workbookView minimized="1" xWindow="6204" yWindow="6708" windowWidth="17184" windowHeight="6000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" i="1" l="1"/>
  <c r="AU4" i="1"/>
  <c r="AR4" i="1"/>
  <c r="AO4" i="1"/>
  <c r="AL4" i="1"/>
  <c r="AI4" i="1"/>
  <c r="AF4" i="1"/>
  <c r="AC4" i="1"/>
  <c r="Z4" i="1"/>
  <c r="W4" i="1"/>
  <c r="T4" i="1"/>
  <c r="Q4" i="1"/>
</calcChain>
</file>

<file path=xl/sharedStrings.xml><?xml version="1.0" encoding="utf-8"?>
<sst xmlns="http://schemas.openxmlformats.org/spreadsheetml/2006/main" count="150" uniqueCount="90">
  <si>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</si>
  <si>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</si>
  <si>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</si>
  <si>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</si>
  <si>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</si>
  <si>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</si>
  <si>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</si>
  <si>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</si>
  <si>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</si>
  <si>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</si>
  <si>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</si>
  <si>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</si>
  <si>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</si>
  <si>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</si>
  <si>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</si>
  <si>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</si>
  <si>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</si>
  <si>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</si>
  <si>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</si>
  <si>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</si>
  <si>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</si>
  <si>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</si>
  <si>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</si>
  <si>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</si>
  <si>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</si>
  <si>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</si>
  <si>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</si>
  <si>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</si>
  <si>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</si>
  <si>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</si>
  <si>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</si>
  <si>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</si>
  <si>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</si>
  <si>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</si>
  <si>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</si>
  <si>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</si>
  <si>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</si>
  <si>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</si>
  <si>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</si>
  <si>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</si>
  <si>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</si>
  <si>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</si>
  <si>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</si>
  <si>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</si>
  <si>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</si>
  <si>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</si>
  <si>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</si>
  <si>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</si>
  <si>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</si>
  <si>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</si>
  <si>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</si>
  <si>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</si>
  <si>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</si>
  <si>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</si>
  <si>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</si>
  <si>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</si>
  <si>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</si>
  <si>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</si>
  <si>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</si>
  <si>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</si>
  <si>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</si>
  <si>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</si>
  <si>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</si>
  <si>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</si>
  <si>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</si>
  <si>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</si>
  <si>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</si>
  <si>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</si>
  <si>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</si>
  <si>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</si>
  <si>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</si>
  <si>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BUY</t>
  </si>
  <si>
    <t>WW</t>
  </si>
  <si>
    <t>PriceTAM210105151516</t>
  </si>
  <si>
    <t>SERCOM desc</t>
  </si>
  <si>
    <t>XLOBPriceTAM210105151443</t>
  </si>
  <si>
    <t>ALL</t>
  </si>
  <si>
    <t>Y</t>
  </si>
  <si>
    <t>FY2022FQ02FM06
(M1)
26 Jun 2021</t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</si>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</sst>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topLeftCell="AB2" workbookViewId="0">
      <selection activeCell="G17" sqref="G17"/>
    </sheetView>
  </sheetViews>
  <sheetFormatPr defaultRowHeight="14.4" x14ac:dyDescent="0.3"/>
  <sheetData>
    <row r="1" spans="1:50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</row>
    <row r="2" spans="1:50" s="50" customFormat="1" ht="49.95" customHeight="1" x14ac:dyDescent="0.3">
      <c r="O2" s="53" t="s">
        <v>78</v>
      </c>
      <c r="P2" s="53" t="s">
        <v>50</v>
      </c>
      <c r="Q2" s="53" t="s">
        <v>50</v>
      </c>
      <c r="R2" s="53" t="s">
        <v>79</v>
      </c>
      <c r="S2" s="53" t="s">
        <v>50</v>
      </c>
      <c r="T2" s="53" t="s">
        <v>50</v>
      </c>
      <c r="U2" s="53" t="s">
        <v>80</v>
      </c>
      <c r="V2" s="53" t="s">
        <v>50</v>
      </c>
      <c r="W2" s="53" t="s">
        <v>50</v>
      </c>
      <c r="X2" s="54" t="s">
        <v>81</v>
      </c>
      <c r="Y2" s="54" t="s">
        <v>50</v>
      </c>
      <c r="Z2" s="54" t="s">
        <v>50</v>
      </c>
      <c r="AA2" s="54" t="s">
        <v>82</v>
      </c>
      <c r="AB2" s="54" t="s">
        <v>50</v>
      </c>
      <c r="AC2" s="54" t="s">
        <v>50</v>
      </c>
      <c r="AD2" s="54" t="s">
        <v>83</v>
      </c>
      <c r="AE2" s="54" t="s">
        <v>50</v>
      </c>
      <c r="AF2" s="54" t="s">
        <v>50</v>
      </c>
      <c r="AG2" s="54" t="s">
        <v>84</v>
      </c>
      <c r="AH2" s="54" t="s">
        <v>50</v>
      </c>
      <c r="AI2" s="54" t="s">
        <v>50</v>
      </c>
      <c r="AJ2" s="54" t="s">
        <v>85</v>
      </c>
      <c r="AK2" s="54" t="s">
        <v>50</v>
      </c>
      <c r="AL2" s="54" t="s">
        <v>50</v>
      </c>
      <c r="AM2" s="54" t="s">
        <v>86</v>
      </c>
      <c r="AN2" s="54" t="s">
        <v>50</v>
      </c>
      <c r="AO2" s="54" t="s">
        <v>50</v>
      </c>
      <c r="AP2" s="54" t="s">
        <v>87</v>
      </c>
      <c r="AQ2" s="54" t="s">
        <v>50</v>
      </c>
      <c r="AR2" s="54" t="s">
        <v>50</v>
      </c>
      <c r="AS2" s="54" t="s">
        <v>88</v>
      </c>
      <c r="AT2" s="54" t="s">
        <v>50</v>
      </c>
      <c r="AU2" s="54" t="s">
        <v>50</v>
      </c>
      <c r="AV2" s="54" t="s">
        <v>89</v>
      </c>
      <c r="AW2" s="54" t="s">
        <v>50</v>
      </c>
      <c r="AX2" s="54" t="s">
        <v>50</v>
      </c>
    </row>
    <row r="3" spans="1:50" s="50" customFormat="1" x14ac:dyDescent="0.3">
      <c r="A3" s="52" t="s">
        <v>51</v>
      </c>
      <c r="B3" s="52" t="s">
        <v>52</v>
      </c>
      <c r="C3" s="52" t="s">
        <v>53</v>
      </c>
      <c r="D3" s="52" t="s">
        <v>54</v>
      </c>
      <c r="E3" s="52" t="s">
        <v>55</v>
      </c>
      <c r="F3" s="52" t="s">
        <v>56</v>
      </c>
      <c r="G3" s="52" t="s">
        <v>57</v>
      </c>
      <c r="H3" s="52" t="s">
        <v>58</v>
      </c>
      <c r="I3" s="52" t="s">
        <v>59</v>
      </c>
      <c r="J3" s="52" t="s">
        <v>60</v>
      </c>
      <c r="K3" s="52" t="s">
        <v>61</v>
      </c>
      <c r="L3" s="52" t="s">
        <v>62</v>
      </c>
      <c r="M3" s="52" t="s">
        <v>63</v>
      </c>
      <c r="N3" s="52" t="s">
        <v>64</v>
      </c>
      <c r="O3" s="51" t="s">
        <v>65</v>
      </c>
      <c r="P3" s="51" t="s">
        <v>66</v>
      </c>
      <c r="Q3" s="51" t="s">
        <v>67</v>
      </c>
      <c r="R3" s="51" t="s">
        <v>65</v>
      </c>
      <c r="S3" s="51" t="s">
        <v>66</v>
      </c>
      <c r="T3" s="51" t="s">
        <v>67</v>
      </c>
      <c r="U3" s="51" t="s">
        <v>65</v>
      </c>
      <c r="V3" s="51" t="s">
        <v>66</v>
      </c>
      <c r="W3" s="51" t="s">
        <v>67</v>
      </c>
      <c r="X3" s="52" t="s">
        <v>65</v>
      </c>
      <c r="Y3" s="52" t="s">
        <v>66</v>
      </c>
      <c r="Z3" s="52" t="s">
        <v>67</v>
      </c>
      <c r="AA3" s="52" t="s">
        <v>65</v>
      </c>
      <c r="AB3" s="52" t="s">
        <v>66</v>
      </c>
      <c r="AC3" s="52" t="s">
        <v>67</v>
      </c>
      <c r="AD3" s="52" t="s">
        <v>65</v>
      </c>
      <c r="AE3" s="52" t="s">
        <v>66</v>
      </c>
      <c r="AF3" s="52" t="s">
        <v>67</v>
      </c>
      <c r="AG3" s="52" t="s">
        <v>65</v>
      </c>
      <c r="AH3" s="52" t="s">
        <v>66</v>
      </c>
      <c r="AI3" s="52" t="s">
        <v>67</v>
      </c>
      <c r="AJ3" s="52" t="s">
        <v>65</v>
      </c>
      <c r="AK3" s="52" t="s">
        <v>66</v>
      </c>
      <c r="AL3" s="52" t="s">
        <v>67</v>
      </c>
      <c r="AM3" s="52" t="s">
        <v>65</v>
      </c>
      <c r="AN3" s="52" t="s">
        <v>66</v>
      </c>
      <c r="AO3" s="52" t="s">
        <v>67</v>
      </c>
      <c r="AP3" s="52" t="s">
        <v>65</v>
      </c>
      <c r="AQ3" s="52" t="s">
        <v>66</v>
      </c>
      <c r="AR3" s="52" t="s">
        <v>67</v>
      </c>
      <c r="AS3" s="52" t="s">
        <v>65</v>
      </c>
      <c r="AT3" s="52" t="s">
        <v>66</v>
      </c>
      <c r="AU3" s="52" t="s">
        <v>67</v>
      </c>
      <c r="AV3" s="52" t="s">
        <v>65</v>
      </c>
      <c r="AW3" s="52" t="s">
        <v>66</v>
      </c>
      <c r="AX3" s="52" t="s">
        <v>67</v>
      </c>
    </row>
    <row r="4" spans="1:50" x14ac:dyDescent="0.3">
      <c r="A4" t="s">
        <v>73</v>
      </c>
      <c r="B4" t="s">
        <v>68</v>
      </c>
      <c r="C4" t="s">
        <v>69</v>
      </c>
      <c r="D4" t="s">
        <v>50</v>
      </c>
      <c r="E4" t="s">
        <v>74</v>
      </c>
      <c r="F4" t="s">
        <v>75</v>
      </c>
      <c r="G4" t="s">
        <v>70</v>
      </c>
      <c r="H4" t="s">
        <v>50</v>
      </c>
      <c r="I4" t="s">
        <v>71</v>
      </c>
      <c r="J4" t="s">
        <v>72</v>
      </c>
      <c r="K4" t="s">
        <v>72</v>
      </c>
      <c r="L4" t="s">
        <v>50</v>
      </c>
      <c r="M4" t="s">
        <v>76</v>
      </c>
      <c r="N4" t="s">
        <v>77</v>
      </c>
      <c r="O4">
        <v>34</v>
      </c>
      <c r="P4">
        <v>100</v>
      </c>
      <c r="Q4">
        <f>IFERROR(SUMPRODUCT(--($F$1:$F$2999=$F4)*($K$1:$K$2999=$K4),O$1:O$2999,P$1:P$2999)/SUMIFS(P$1:P$2999,$F$1:$F$2999,$F4,$K$1:$K$2999,$K4),"")</f>
        <v>34</v>
      </c>
      <c r="R4">
        <v>20</v>
      </c>
      <c r="S4">
        <v>100</v>
      </c>
      <c r="T4">
        <f>IFERROR(SUMPRODUCT(--($F$1:$F$2999=$F4)*($K$1:$K$2999=$K4),R$1:R$2999,S$1:S$2999)/SUMIFS(S$1:S$2999,$F$1:$F$2999,$F4,$K$1:$K$2999,$K4),"")</f>
        <v>20</v>
      </c>
      <c r="U4">
        <v>45.4</v>
      </c>
      <c r="V4">
        <v>100</v>
      </c>
      <c r="W4">
        <f>IFERROR(SUMPRODUCT(--($F$1:$F$2999=$F4)*($K$1:$K$2999=$K4),U$1:U$2999,V$1:V$2999)/SUMIFS(V$1:V$2999,$F$1:$F$2999,$F4,$K$1:$K$2999,$K4),"")</f>
        <v>45.4</v>
      </c>
      <c r="X4">
        <v>34</v>
      </c>
      <c r="Y4">
        <v>100</v>
      </c>
      <c r="Z4">
        <f>IFERROR(SUMPRODUCT(--($F$1:$F$2999=$F4)*($K$1:$K$2999=$K4),X$1:X$2999,Y$1:Y$2999)/SUMIFS(Y$1:Y$2999,$F$1:$F$2999,$F4,$K$1:$K$2999,$K4),"")</f>
        <v>34</v>
      </c>
      <c r="AA4">
        <v>34</v>
      </c>
      <c r="AB4">
        <v>100</v>
      </c>
      <c r="AC4">
        <f>IFERROR(SUMPRODUCT(--($F$1:$F$2999=$F4)*($K$1:$K$2999=$K4),AA$1:AA$2999,AB$1:AB$2999)/SUMIFS(AB$1:AB$2999,$F$1:$F$2999,$F4,$K$1:$K$2999,$K4),"")</f>
        <v>34</v>
      </c>
      <c r="AD4">
        <v>34</v>
      </c>
      <c r="AE4">
        <v>100</v>
      </c>
      <c r="AF4">
        <f>IFERROR(SUMPRODUCT(--($F$1:$F$2999=$F4)*($K$1:$K$2999=$K4),AD$1:AD$2999,AE$1:AE$2999)/SUMIFS(AE$1:AE$2999,$F$1:$F$2999,$F4,$K$1:$K$2999,$K4),"")</f>
        <v>34</v>
      </c>
      <c r="AG4">
        <v>56</v>
      </c>
      <c r="AH4">
        <v>100</v>
      </c>
      <c r="AI4">
        <f>IFERROR(SUMPRODUCT(--($F$1:$F$2999=$F4)*($K$1:$K$2999=$K4),AG$1:AG$2999,AH$1:AH$2999)/SUMIFS(AH$1:AH$2999,$F$1:$F$2999,$F4,$K$1:$K$2999,$K4),"")</f>
        <v>56</v>
      </c>
      <c r="AJ4">
        <v>56</v>
      </c>
      <c r="AK4">
        <v>100</v>
      </c>
      <c r="AL4">
        <f>IFERROR(SUMPRODUCT(--($F$1:$F$2999=$F4)*($K$1:$K$2999=$K4),AJ$1:AJ$2999,AK$1:AK$2999)/SUMIFS(AK$1:AK$2999,$F$1:$F$2999,$F4,$K$1:$K$2999,$K4),"")</f>
        <v>56</v>
      </c>
      <c r="AM4">
        <v>56</v>
      </c>
      <c r="AN4">
        <v>100</v>
      </c>
      <c r="AO4">
        <f>IFERROR(SUMPRODUCT(--($F$1:$F$2999=$F4)*($K$1:$K$2999=$K4),AM$1:AM$2999,AN$1:AN$2999)/SUMIFS(AN$1:AN$2999,$F$1:$F$2999,$F4,$K$1:$K$2999,$K4),"")</f>
        <v>56</v>
      </c>
      <c r="AP4">
        <v>56</v>
      </c>
      <c r="AQ4">
        <v>100</v>
      </c>
      <c r="AR4">
        <f>IFERROR(SUMPRODUCT(--($F$1:$F$2999=$F4)*($K$1:$K$2999=$K4),AP$1:AP$2999,AQ$1:AQ$2999)/SUMIFS(AQ$1:AQ$2999,$F$1:$F$2999,$F4,$K$1:$K$2999,$K4),"")</f>
        <v>56</v>
      </c>
      <c r="AS4">
        <v>45</v>
      </c>
      <c r="AT4">
        <v>100</v>
      </c>
      <c r="AU4">
        <f>IFERROR(SUMPRODUCT(--($F$1:$F$2999=$F4)*($K$1:$K$2999=$K4),AS$1:AS$2999,AT$1:AT$2999)/SUMIFS(AT$1:AT$2999,$F$1:$F$2999,$F4,$K$1:$K$2999,$K4),"")</f>
        <v>45</v>
      </c>
      <c r="AV4">
        <v>45</v>
      </c>
      <c r="AW4">
        <v>100</v>
      </c>
      <c r="AX4">
        <f>IFERROR(SUMPRODUCT(--($F$1:$F$2999=$F4)*($K$1:$K$2999=$K4),AV$1:AV$2999,AW$1:AW$2999)/SUMIFS(AW$1:AW$2999,$F$1:$F$2999,$F4,$K$1:$K$2999,$K4),"")</f>
        <v>45</v>
      </c>
    </row>
  </sheetData>
  <mergeCells count="12">
    <mergeCell ref="AS2:AU2"/>
    <mergeCell ref="AV2:AX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2021-07-28T04:13:34Z</dcterms:modified>
</cp:coreProperties>
</file>