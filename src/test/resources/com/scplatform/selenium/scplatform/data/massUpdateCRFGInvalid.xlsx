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D1DCDCD2-C257-4868-A1F7-C8B4B09B1E8E}" xr6:coauthVersionLast="47" xr6:coauthVersionMax="47" xr10:uidLastSave="{00000000-0000-0000-0000-000000000000}"/>
  <bookViews>
    <workbookView xWindow="-110" yWindow="-110" windowWidth="19420" windowHeight="10300" xr2:uid="{190C02C3-73BD-415C-866F-64E72D05B3E4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  <c r="AE4" i="1"/>
  <c r="AC4" i="1"/>
  <c r="AE5" i="1"/>
  <c r="AC5" i="1"/>
  <c r="AE6" i="1"/>
  <c r="AC6" i="1"/>
</calcChain>
</file>

<file path=xl/sharedStrings.xml><?xml version="1.0" encoding="utf-8"?>
<sst xmlns="http://schemas.openxmlformats.org/spreadsheetml/2006/main" count="237" uniqueCount="136">
  <si>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</si>
  <si>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</si>
  <si>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</si>
  <si>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</si>
  <si>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</si>
  <si>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</si>
  <si>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</si>
  <si>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</si>
  <si>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</si>
  <si>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</si>
  <si>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</si>
  <si>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</si>
  <si>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</si>
  <si>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</si>
  <si>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</si>
  <si>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</si>
  <si>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</si>
  <si>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</si>
  <si>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</si>
  <si>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</si>
  <si>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</si>
  <si>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</si>
  <si>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</si>
  <si>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</si>
  <si>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</si>
  <si>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</si>
  <si>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</si>
  <si>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</si>
  <si>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</si>
  <si>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</si>
  <si>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</si>
  <si>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</si>
  <si>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</si>
  <si>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</si>
  <si>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</si>
  <si>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</si>
  <si>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</si>
  <si>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</si>
  <si>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</si>
  <si>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</si>
  <si>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</si>
  <si>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</si>
  <si>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</si>
  <si>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</si>
  <si>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</si>
  <si>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</si>
  <si>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</si>
  <si>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</si>
  <si>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</si>
  <si>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</si>
  <si>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</si>
  <si>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</si>
  <si>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</si>
  <si>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</si>
  <si>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</si>
  <si>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</si>
  <si>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</si>
  <si>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</si>
  <si>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</si>
  <si>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</si>
  <si>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</si>
  <si>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</si>
  <si>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</si>
  <si>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</si>
  <si>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</si>
  <si>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</si>
  <si>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</si>
  <si>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</si>
  <si>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</si>
  <si>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</si>
  <si>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</si>
  <si>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</si>
  <si>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</si>
  <si>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</si>
  <si>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</si>
  <si>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</si>
  <si>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</si>
  <si>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</si>
  <si>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</si>
  <si>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</si>
  <si>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</si>
  <si>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</si>
  <si>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</si>
  <si>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</si>
  <si>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</si>
  <si>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</si>
  <si>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</si>
  <si>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</si>
  <si>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</si>
  <si>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</si>
  <si>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</si>
  <si>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</si>
  <si>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</si>
  <si>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</si>
  <si>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</si>
  <si>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</si>
  <si>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</si>
  <si>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</si>
  <si>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</si>
  <si>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</si>
  <si>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</si>
  <si>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</si>
  <si>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</si>
  <si>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</si>
  <si>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</si>
  <si>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</si>
  <si>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</si>
  <si>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</si>
  <si>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</si>
  <si>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</si>
  <si>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</si>
  <si>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Number1</t>
  </si>
  <si>
    <t>Date1</t>
  </si>
  <si>
    <t>Float1</t>
  </si>
  <si>
    <t/>
  </si>
  <si>
    <t>CRGrp210502025141</t>
  </si>
  <si>
    <t>CFG</t>
  </si>
  <si>
    <t>CR210502025141</t>
  </si>
  <si>
    <t>SI,CUS,DIMM,256MB,PANASONIC</t>
  </si>
  <si>
    <t>ENTERPRISE</t>
  </si>
  <si>
    <t>PRODUCTION</t>
  </si>
  <si>
    <t>SERCOM desc</t>
  </si>
  <si>
    <t>SUPPLIER</t>
  </si>
  <si>
    <t>NL-SERCOM-USD</t>
  </si>
  <si>
    <t>WW</t>
  </si>
  <si>
    <t>USD</t>
  </si>
  <si>
    <t>N</t>
  </si>
  <si>
    <t>CLOSED</t>
  </si>
  <si>
    <t>BUY</t>
  </si>
  <si>
    <t>mike_quick@dell.com</t>
  </si>
  <si>
    <t>SYSTEM AUTO-CLOSED</t>
  </si>
  <si>
    <t>MCM</t>
  </si>
  <si>
    <t>UI</t>
  </si>
  <si>
    <t>SERVICE</t>
  </si>
  <si>
    <t>ODMBUY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</si>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</sst>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5E67-9FB2-41BF-909F-532279B5B6E9}">
  <dimension ref="A1:BL6"/>
  <sheetViews>
    <sheetView tabSelected="1" topLeftCell="A2" zoomScaleNormal="100" workbookViewId="0">
      <selection activeCell="A4" sqref="A4"/>
    </sheetView>
  </sheetViews>
  <sheetFormatPr defaultRowHeight="12.5" x14ac:dyDescent="0.25"/>
  <cols>
    <col min="1" max="1" width="21" bestFit="1" customWidth="1"/>
  </cols>
  <sheetData>
    <row r="1" spans="1:64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50" x14ac:dyDescent="0.25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83</v>
      </c>
      <c r="U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Z2" s="2" t="s">
        <v>89</v>
      </c>
      <c r="AA2" s="2" t="s">
        <v>90</v>
      </c>
      <c r="AB2" s="2" t="s">
        <v>91</v>
      </c>
      <c r="AC2" s="2" t="s">
        <v>92</v>
      </c>
      <c r="AD2" s="2" t="s">
        <v>93</v>
      </c>
      <c r="AE2" s="2" t="s">
        <v>94</v>
      </c>
      <c r="AF2" s="2" t="s">
        <v>95</v>
      </c>
      <c r="AG2" s="2" t="s">
        <v>96</v>
      </c>
      <c r="AH2" s="2" t="s">
        <v>97</v>
      </c>
      <c r="AI2" s="2" t="s">
        <v>98</v>
      </c>
      <c r="AJ2" s="2" t="s">
        <v>99</v>
      </c>
      <c r="AK2" s="2" t="s">
        <v>100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101</v>
      </c>
      <c r="AZ2" s="1" t="s">
        <v>102</v>
      </c>
      <c r="BA2" s="2" t="s">
        <v>52</v>
      </c>
      <c r="BB2" s="2" t="s">
        <v>103</v>
      </c>
      <c r="BC2" s="2" t="s">
        <v>104</v>
      </c>
      <c r="BD2" s="2" t="s">
        <v>105</v>
      </c>
      <c r="BE2" s="2" t="s">
        <v>106</v>
      </c>
      <c r="BF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K2" s="1" t="s">
        <v>112</v>
      </c>
      <c r="BL2" s="1" t="s">
        <v>113</v>
      </c>
    </row>
    <row r="3" spans="1:64" x14ac:dyDescent="0.2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7" t="s">
        <v>135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/>
      <c r="M3" s="2" t="s">
        <v>124</v>
      </c>
      <c r="N3" s="2" t="s">
        <v>114</v>
      </c>
      <c r="O3" s="2" t="s">
        <v>114</v>
      </c>
      <c r="P3" s="2">
        <v>2</v>
      </c>
      <c r="Q3" s="2" t="s">
        <v>125</v>
      </c>
      <c r="R3" s="3">
        <v>44318</v>
      </c>
      <c r="T3" s="2" t="s">
        <v>126</v>
      </c>
      <c r="U3" s="2" t="s">
        <v>127</v>
      </c>
      <c r="V3" s="2" t="s">
        <v>114</v>
      </c>
      <c r="W3" s="2" t="s">
        <v>114</v>
      </c>
      <c r="X3" s="2" t="s">
        <v>128</v>
      </c>
      <c r="Y3" s="2"/>
      <c r="Z3" s="2" t="s">
        <v>114</v>
      </c>
      <c r="AA3" s="2" t="s">
        <v>114</v>
      </c>
      <c r="AB3" s="2" t="s">
        <v>126</v>
      </c>
      <c r="AC3" s="4">
        <f>AD3+AE3+AL3+AM3+AN3+AO3+AP3+AQ3+AR3+AS3+AT3+AU3+AV3+AW3+AX3</f>
        <v>0</v>
      </c>
      <c r="AD3" s="5">
        <v>0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2" t="s">
        <v>129</v>
      </c>
      <c r="AZ3" s="2" t="s">
        <v>114</v>
      </c>
      <c r="BA3" s="2"/>
      <c r="BB3" s="2"/>
      <c r="BC3" s="2" t="s">
        <v>130</v>
      </c>
      <c r="BD3" s="2"/>
      <c r="BE3" s="2" t="s">
        <v>131</v>
      </c>
      <c r="BF3" s="1"/>
      <c r="BG3" s="1"/>
      <c r="BH3" s="1" t="s">
        <v>132</v>
      </c>
      <c r="BI3" s="1"/>
      <c r="BJ3" s="1"/>
      <c r="BK3" s="1"/>
      <c r="BL3" s="1"/>
    </row>
    <row r="4" spans="1:64" x14ac:dyDescent="0.25">
      <c r="A4" s="2" t="s">
        <v>114</v>
      </c>
      <c r="B4" s="2" t="s">
        <v>115</v>
      </c>
      <c r="C4" s="2" t="s">
        <v>116</v>
      </c>
      <c r="D4" s="2" t="s">
        <v>117</v>
      </c>
      <c r="E4" s="2" t="s">
        <v>118</v>
      </c>
      <c r="F4" s="7" t="s">
        <v>135</v>
      </c>
      <c r="G4" s="2" t="s">
        <v>119</v>
      </c>
      <c r="H4" s="2" t="s">
        <v>120</v>
      </c>
      <c r="I4" s="2" t="s">
        <v>121</v>
      </c>
      <c r="J4" s="2" t="s">
        <v>122</v>
      </c>
      <c r="K4" s="2" t="s">
        <v>123</v>
      </c>
      <c r="L4" s="2"/>
      <c r="M4" s="2" t="s">
        <v>124</v>
      </c>
      <c r="N4" s="2" t="s">
        <v>114</v>
      </c>
      <c r="O4" s="2" t="s">
        <v>114</v>
      </c>
      <c r="P4" s="2">
        <v>2</v>
      </c>
      <c r="Q4" s="2" t="s">
        <v>125</v>
      </c>
      <c r="R4" s="3">
        <v>44318</v>
      </c>
      <c r="T4" s="2" t="s">
        <v>126</v>
      </c>
      <c r="U4" s="2" t="s">
        <v>127</v>
      </c>
      <c r="V4" s="2" t="s">
        <v>114</v>
      </c>
      <c r="W4" s="2" t="s">
        <v>114</v>
      </c>
      <c r="X4" s="2" t="s">
        <v>133</v>
      </c>
      <c r="Y4" s="2"/>
      <c r="Z4" s="2" t="s">
        <v>114</v>
      </c>
      <c r="AA4" s="2" t="s">
        <v>114</v>
      </c>
      <c r="AB4" s="2" t="s">
        <v>126</v>
      </c>
      <c r="AC4" s="4">
        <f>AD4+AE4+AL4+AM4+AN4+AO4+AP4+AQ4+AR4+AS4+AT4+AU4+AV4+AW4+AX4</f>
        <v>0.02</v>
      </c>
      <c r="AD4" s="5">
        <v>0.02</v>
      </c>
      <c r="AE4" s="4">
        <f>ROUND(AF4/100*AG4,6)+ROUND(AH4/100*AI4,6)+ROUND(AJ4/100*AK4,6)</f>
        <v>0</v>
      </c>
      <c r="AF4" s="5">
        <v>0</v>
      </c>
      <c r="AG4" s="6">
        <v>0</v>
      </c>
      <c r="AH4" s="5">
        <v>0</v>
      </c>
      <c r="AI4" s="6">
        <v>0</v>
      </c>
      <c r="AJ4" s="5">
        <v>0</v>
      </c>
      <c r="AK4" s="6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2" t="s">
        <v>129</v>
      </c>
      <c r="AZ4" s="2" t="s">
        <v>114</v>
      </c>
      <c r="BA4" s="2"/>
      <c r="BB4" s="2"/>
      <c r="BC4" s="2"/>
      <c r="BD4" s="2"/>
      <c r="BE4" s="2" t="s">
        <v>131</v>
      </c>
      <c r="BF4" s="1"/>
      <c r="BG4" s="1"/>
      <c r="BH4" s="1" t="s">
        <v>132</v>
      </c>
      <c r="BI4" s="1"/>
      <c r="BJ4" s="1"/>
      <c r="BK4" s="1"/>
      <c r="BL4" s="1"/>
    </row>
    <row r="5" spans="1:64" x14ac:dyDescent="0.25">
      <c r="A5" s="2" t="s">
        <v>114</v>
      </c>
      <c r="B5" s="2" t="s">
        <v>115</v>
      </c>
      <c r="C5" s="2" t="s">
        <v>116</v>
      </c>
      <c r="D5" s="2" t="s">
        <v>117</v>
      </c>
      <c r="E5" s="2" t="s">
        <v>118</v>
      </c>
      <c r="F5" s="7" t="s">
        <v>135</v>
      </c>
      <c r="G5" s="2" t="s">
        <v>119</v>
      </c>
      <c r="H5" s="2" t="s">
        <v>120</v>
      </c>
      <c r="I5" s="2" t="s">
        <v>121</v>
      </c>
      <c r="J5" s="2" t="s">
        <v>122</v>
      </c>
      <c r="K5" s="2" t="s">
        <v>123</v>
      </c>
      <c r="L5" s="2"/>
      <c r="M5" s="2" t="s">
        <v>124</v>
      </c>
      <c r="N5" s="2" t="s">
        <v>114</v>
      </c>
      <c r="O5" s="2" t="s">
        <v>114</v>
      </c>
      <c r="P5" s="2">
        <v>2</v>
      </c>
      <c r="Q5" s="2" t="s">
        <v>125</v>
      </c>
      <c r="R5" s="3">
        <v>44318</v>
      </c>
      <c r="T5" s="2" t="s">
        <v>126</v>
      </c>
      <c r="U5" s="2" t="s">
        <v>127</v>
      </c>
      <c r="V5" s="2" t="s">
        <v>114</v>
      </c>
      <c r="W5" s="2" t="s">
        <v>114</v>
      </c>
      <c r="X5" s="2" t="s">
        <v>134</v>
      </c>
      <c r="Y5" s="2"/>
      <c r="Z5" s="2" t="s">
        <v>114</v>
      </c>
      <c r="AA5" s="2" t="s">
        <v>114</v>
      </c>
      <c r="AB5" s="2" t="s">
        <v>126</v>
      </c>
      <c r="AC5" s="4">
        <f>AD5+AE5+AL5+AM5+AN5+AO5+AP5+AQ5+AR5+AS5+AT5+AU5+AV5+AW5+AX5</f>
        <v>0.03</v>
      </c>
      <c r="AD5" s="5">
        <v>0.03</v>
      </c>
      <c r="AE5" s="4">
        <f>ROUND(AF5/100*AG5,6)+ROUND(AH5/100*AI5,6)+ROUND(AJ5/100*AK5,6)</f>
        <v>0</v>
      </c>
      <c r="AF5" s="5">
        <v>0</v>
      </c>
      <c r="AG5" s="6">
        <v>0</v>
      </c>
      <c r="AH5" s="5">
        <v>0</v>
      </c>
      <c r="AI5" s="6">
        <v>0</v>
      </c>
      <c r="AJ5" s="5">
        <v>0</v>
      </c>
      <c r="AK5" s="6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2" t="s">
        <v>129</v>
      </c>
      <c r="AZ5" s="2" t="s">
        <v>114</v>
      </c>
      <c r="BA5" s="2"/>
      <c r="BB5" s="2"/>
      <c r="BC5" s="2"/>
      <c r="BD5" s="2"/>
      <c r="BE5" s="2" t="s">
        <v>131</v>
      </c>
      <c r="BF5" s="1"/>
      <c r="BG5" s="1"/>
      <c r="BH5" s="1" t="s">
        <v>132</v>
      </c>
      <c r="BI5" s="1"/>
      <c r="BJ5" s="1"/>
      <c r="BK5" s="1"/>
      <c r="BL5" s="1"/>
    </row>
    <row r="6" spans="1:64" x14ac:dyDescent="0.25">
      <c r="A6" s="2" t="s">
        <v>114</v>
      </c>
      <c r="B6" s="2" t="s">
        <v>115</v>
      </c>
      <c r="C6" s="2" t="s">
        <v>116</v>
      </c>
      <c r="D6" s="2" t="s">
        <v>117</v>
      </c>
      <c r="E6" s="2" t="s">
        <v>118</v>
      </c>
      <c r="F6" s="7" t="s">
        <v>135</v>
      </c>
      <c r="G6" s="2" t="s">
        <v>119</v>
      </c>
      <c r="H6" s="2" t="s">
        <v>120</v>
      </c>
      <c r="I6" s="2" t="s">
        <v>121</v>
      </c>
      <c r="J6" s="2" t="s">
        <v>122</v>
      </c>
      <c r="K6" s="2" t="s">
        <v>123</v>
      </c>
      <c r="L6" s="2"/>
      <c r="M6" s="2" t="s">
        <v>124</v>
      </c>
      <c r="N6" s="2" t="s">
        <v>114</v>
      </c>
      <c r="O6" s="2" t="s">
        <v>114</v>
      </c>
      <c r="P6" s="2">
        <v>2</v>
      </c>
      <c r="Q6" s="2" t="s">
        <v>125</v>
      </c>
      <c r="R6" s="3">
        <v>44318</v>
      </c>
      <c r="T6" s="2" t="s">
        <v>126</v>
      </c>
      <c r="U6" s="2" t="s">
        <v>127</v>
      </c>
      <c r="V6" s="2" t="s">
        <v>114</v>
      </c>
      <c r="W6" s="2" t="s">
        <v>114</v>
      </c>
      <c r="X6" s="2" t="s">
        <v>128</v>
      </c>
      <c r="Y6" s="2"/>
      <c r="Z6" s="2" t="s">
        <v>114</v>
      </c>
      <c r="AA6" s="2" t="s">
        <v>114</v>
      </c>
      <c r="AB6" s="2" t="s">
        <v>126</v>
      </c>
      <c r="AC6" s="4">
        <f>AD6+AE6+AL6+AM6+AN6+AO6+AP6+AQ6+AR6+AS6+AT6+AU6+AV6+AW6+AX6</f>
        <v>0</v>
      </c>
      <c r="AD6" s="5">
        <v>0</v>
      </c>
      <c r="AE6" s="4">
        <f>ROUND(AF6/100*AG6,6)+ROUND(AH6/100*AI6,6)+ROUND(AJ6/100*AK6,6)</f>
        <v>0</v>
      </c>
      <c r="AF6" s="5">
        <v>0</v>
      </c>
      <c r="AG6" s="6">
        <v>0</v>
      </c>
      <c r="AH6" s="5">
        <v>0</v>
      </c>
      <c r="AI6" s="6">
        <v>0</v>
      </c>
      <c r="AJ6" s="5">
        <v>0</v>
      </c>
      <c r="AK6" s="6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2" t="s">
        <v>129</v>
      </c>
      <c r="AZ6" s="2" t="s">
        <v>114</v>
      </c>
      <c r="BA6" s="2"/>
      <c r="BB6" s="2"/>
      <c r="BC6" s="2"/>
      <c r="BD6" s="2"/>
      <c r="BE6" s="2" t="s">
        <v>131</v>
      </c>
      <c r="BF6" s="1"/>
      <c r="BG6" s="1"/>
      <c r="BH6" s="1" t="s">
        <v>132</v>
      </c>
      <c r="BI6" s="1"/>
      <c r="BJ6" s="1"/>
      <c r="BK6" s="1"/>
      <c r="BL6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2026-03-10T07:27:14Z</dcterms:created>
  <dcterms:modified xsi:type="dcterms:W3CDTF">2026-03-10T07:27:14Z</dcterms:modified>
</cp:coreProperties>
</file>