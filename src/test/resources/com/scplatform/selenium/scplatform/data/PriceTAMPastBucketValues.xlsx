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467A6BAB-759E-4501-B366-8C13AF4136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4" i="1" l="1"/>
  <c r="CE4" i="1"/>
  <c r="CB4" i="1"/>
  <c r="BY4" i="1"/>
  <c r="BV4" i="1"/>
  <c r="BS4" i="1"/>
  <c r="BP4" i="1"/>
  <c r="BM4" i="1"/>
  <c r="BJ4" i="1"/>
  <c r="BG4" i="1"/>
  <c r="BD4" i="1"/>
  <c r="BA4" i="1"/>
  <c r="AX4" i="1"/>
  <c r="AU4" i="1"/>
  <c r="AR4" i="1"/>
  <c r="AO4" i="1"/>
  <c r="AL4" i="1"/>
  <c r="AI4" i="1"/>
  <c r="AF4" i="1"/>
  <c r="AC4" i="1"/>
  <c r="Z4" i="1"/>
  <c r="W4" i="1"/>
  <c r="T4" i="1"/>
  <c r="Q4" i="1"/>
</calcChain>
</file>

<file path=xl/sharedStrings.xml><?xml version="1.0" encoding="utf-8"?>
<sst xmlns="http://schemas.openxmlformats.org/spreadsheetml/2006/main" count="258" uniqueCount="138">
  <si>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</si>
  <si>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</si>
  <si>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</si>
  <si>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</si>
  <si>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</si>
  <si>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</si>
  <si>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</si>
  <si>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</si>
  <si>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</si>
  <si>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</si>
  <si>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</si>
  <si>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</si>
  <si>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</si>
  <si>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</si>
  <si>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M-12P</t>
  </si>
  <si>
    <t>M-12T</t>
  </si>
  <si>
    <t>M-12W</t>
  </si>
  <si>
    <t>M-11P</t>
  </si>
  <si>
    <t>M-11T</t>
  </si>
  <si>
    <t>M-11W</t>
  </si>
  <si>
    <t>M-10P</t>
  </si>
  <si>
    <t>M-10T</t>
  </si>
  <si>
    <t>M-10W</t>
  </si>
  <si>
    <t>M-9P</t>
  </si>
  <si>
    <t>M-9T</t>
  </si>
  <si>
    <t>M-9W</t>
  </si>
  <si>
    <t>M-8P</t>
  </si>
  <si>
    <t>M-8T</t>
  </si>
  <si>
    <t>M-8W</t>
  </si>
  <si>
    <t>M-7P</t>
  </si>
  <si>
    <t>M-7T</t>
  </si>
  <si>
    <t>M-7W</t>
  </si>
  <si>
    <t>M-6P</t>
  </si>
  <si>
    <t>M-6T</t>
  </si>
  <si>
    <t>M-6W</t>
  </si>
  <si>
    <t>M-5P</t>
  </si>
  <si>
    <t>M-5T</t>
  </si>
  <si>
    <t>M-5W</t>
  </si>
  <si>
    <t>M-4P</t>
  </si>
  <si>
    <t>M-4T</t>
  </si>
  <si>
    <t>M-4W</t>
  </si>
  <si>
    <t>M-3P</t>
  </si>
  <si>
    <t>M-3T</t>
  </si>
  <si>
    <t>M-3W</t>
  </si>
  <si>
    <t>M-2P</t>
  </si>
  <si>
    <t>M-2T</t>
  </si>
  <si>
    <t>M-2W</t>
  </si>
  <si>
    <t>M-1P</t>
  </si>
  <si>
    <t>M-1T</t>
  </si>
  <si>
    <t>M-1W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</si>
  <si>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</si>
  <si>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</si>
  <si>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</si>
  <si>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</si>
  <si>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</si>
  <si>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</si>
  <si>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</si>
  <si>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</si>
  <si>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</si>
  <si>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</si>
  <si>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</si>
  <si>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</si>
  <si>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</si>
  <si>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</si>
  <si>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</si>
  <si>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</si>
  <si>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</si>
  <si>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</si>
  <si>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</si>
  <si>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</si>
  <si>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</si>
  <si>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</si>
  <si>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</si>
  <si>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</si>
  <si>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</si>
  <si>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</si>
  <si>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</si>
  <si>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</si>
  <si>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</si>
  <si>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</si>
  <si>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</si>
  <si>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</si>
  <si>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</si>
  <si>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</si>
  <si>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</si>
  <si>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</si>
  <si>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</si>
  <si>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</si>
  <si>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</si>
  <si>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</si>
  <si>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</si>
  <si>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</si>
  <si>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</si>
  <si>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</si>
  <si>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</si>
  <si>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</si>
  <si>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</si>
  <si>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</si>
  <si>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</si>
  <si>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</si>
  <si>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</si>
  <si>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</si>
  <si>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</si>
  <si>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</si>
  <si>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</si>
  <si>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</si>
  <si>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</si>
  <si>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</si>
  <si>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</si>
  <si>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PriceTAM210107112058</t>
  </si>
  <si>
    <t>SERCOM desc</t>
  </si>
  <si>
    <t>XLOBPriceTAM210107112024</t>
  </si>
  <si>
    <t>ALL</t>
  </si>
  <si>
    <t>Y</t>
  </si>
  <si>
    <t>FY2021FQ02FM06
(M-12)
27 Jun 2020</t>
  </si>
  <si>
    <t>FY2021FQ03FM07
(M-11)
01 Aug 2020</t>
  </si>
  <si>
    <t>FY2021FQ03FM08
(M-10)
29 Aug 2020</t>
  </si>
  <si>
    <t>FY2021FQ03FM09
(M-9)
26 Sep 2020</t>
  </si>
  <si>
    <t>FY2021FQ04FM10
(M-8)
31 Oct 2020</t>
  </si>
  <si>
    <t>FY2021FQ04FM11
(M-7)
28 Nov 2020</t>
  </si>
  <si>
    <t>FY2021FQ04FM12
(M-6)
26 Dec 2020</t>
  </si>
  <si>
    <t>FY2022FQ01FM01
(M-5)
30 Jan 2021</t>
  </si>
  <si>
    <t>FY2022FQ01FM02
(M-4)
27 Feb 2021</t>
  </si>
  <si>
    <t>FY2022FQ01FM03
(M-3)
27 Mar 2021</t>
  </si>
  <si>
    <t>FY2022FQ02FM04
(M-2)
01 May 2021</t>
  </si>
  <si>
    <t>FY2022FQ02FM05
(M-1)
29 May 2021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</si>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</sst>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"/>
  <sheetViews>
    <sheetView tabSelected="1" topLeftCell="BL2" workbookViewId="0">
      <selection activeCell="BY20" sqref="BY20"/>
    </sheetView>
  </sheetViews>
  <sheetFormatPr defaultRowHeight="14.4" x14ac:dyDescent="0.3"/>
  <sheetData>
    <row r="1" spans="1:86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  <c r="BD1" s="56" t="s">
        <v>55</v>
      </c>
      <c r="BE1" s="57" t="s">
        <v>56</v>
      </c>
      <c r="BF1" s="58" t="s">
        <v>57</v>
      </c>
      <c r="BG1" s="59" t="s">
        <v>58</v>
      </c>
      <c r="BH1" s="60" t="s">
        <v>59</v>
      </c>
      <c r="BI1" s="61" t="s">
        <v>60</v>
      </c>
      <c r="BJ1" s="62" t="s">
        <v>61</v>
      </c>
      <c r="BK1" s="63" t="s">
        <v>62</v>
      </c>
      <c r="BL1" s="64" t="s">
        <v>63</v>
      </c>
      <c r="BM1" s="65" t="s">
        <v>64</v>
      </c>
      <c r="BN1" s="66" t="s">
        <v>65</v>
      </c>
      <c r="BO1" s="67" t="s">
        <v>66</v>
      </c>
      <c r="BP1" s="68" t="s">
        <v>67</v>
      </c>
      <c r="BQ1" s="69" t="s">
        <v>68</v>
      </c>
      <c r="BR1" s="70" t="s">
        <v>69</v>
      </c>
      <c r="BS1" s="71" t="s">
        <v>70</v>
      </c>
      <c r="BT1" s="72" t="s">
        <v>71</v>
      </c>
      <c r="BU1" s="73" t="s">
        <v>72</v>
      </c>
      <c r="BV1" s="74" t="s">
        <v>73</v>
      </c>
      <c r="BW1" s="75" t="s">
        <v>74</v>
      </c>
      <c r="BX1" s="76" t="s">
        <v>75</v>
      </c>
      <c r="BY1" s="77" t="s">
        <v>76</v>
      </c>
      <c r="BZ1" s="78" t="s">
        <v>77</v>
      </c>
      <c r="CA1" s="79" t="s">
        <v>78</v>
      </c>
      <c r="CB1" s="80" t="s">
        <v>79</v>
      </c>
      <c r="CC1" s="81" t="s">
        <v>80</v>
      </c>
      <c r="CD1" s="82" t="s">
        <v>81</v>
      </c>
      <c r="CE1" s="83" t="s">
        <v>82</v>
      </c>
      <c r="CF1" s="84" t="s">
        <v>83</v>
      </c>
      <c r="CG1" s="85" t="s">
        <v>84</v>
      </c>
      <c r="CH1" s="86" t="s">
        <v>85</v>
      </c>
    </row>
    <row r="2" spans="1:86" s="86" customFormat="1" ht="49.95" customHeight="1" x14ac:dyDescent="0.3">
      <c r="O2" s="90" t="s">
        <v>114</v>
      </c>
      <c r="P2" s="90" t="s">
        <v>86</v>
      </c>
      <c r="Q2" s="90" t="s">
        <v>86</v>
      </c>
      <c r="R2" s="90" t="s">
        <v>115</v>
      </c>
      <c r="S2" s="90" t="s">
        <v>86</v>
      </c>
      <c r="T2" s="90" t="s">
        <v>86</v>
      </c>
      <c r="U2" s="90" t="s">
        <v>116</v>
      </c>
      <c r="V2" s="90" t="s">
        <v>86</v>
      </c>
      <c r="W2" s="90" t="s">
        <v>86</v>
      </c>
      <c r="X2" s="90" t="s">
        <v>117</v>
      </c>
      <c r="Y2" s="90" t="s">
        <v>86</v>
      </c>
      <c r="Z2" s="90" t="s">
        <v>86</v>
      </c>
      <c r="AA2" s="90" t="s">
        <v>118</v>
      </c>
      <c r="AB2" s="90" t="s">
        <v>86</v>
      </c>
      <c r="AC2" s="90" t="s">
        <v>86</v>
      </c>
      <c r="AD2" s="90" t="s">
        <v>119</v>
      </c>
      <c r="AE2" s="90" t="s">
        <v>86</v>
      </c>
      <c r="AF2" s="90" t="s">
        <v>86</v>
      </c>
      <c r="AG2" s="90" t="s">
        <v>120</v>
      </c>
      <c r="AH2" s="90" t="s">
        <v>86</v>
      </c>
      <c r="AI2" s="90" t="s">
        <v>86</v>
      </c>
      <c r="AJ2" s="90" t="s">
        <v>121</v>
      </c>
      <c r="AK2" s="90" t="s">
        <v>86</v>
      </c>
      <c r="AL2" s="90" t="s">
        <v>86</v>
      </c>
      <c r="AM2" s="90" t="s">
        <v>122</v>
      </c>
      <c r="AN2" s="90" t="s">
        <v>86</v>
      </c>
      <c r="AO2" s="90" t="s">
        <v>86</v>
      </c>
      <c r="AP2" s="90" t="s">
        <v>123</v>
      </c>
      <c r="AQ2" s="90" t="s">
        <v>86</v>
      </c>
      <c r="AR2" s="90" t="s">
        <v>86</v>
      </c>
      <c r="AS2" s="90" t="s">
        <v>124</v>
      </c>
      <c r="AT2" s="90" t="s">
        <v>86</v>
      </c>
      <c r="AU2" s="90" t="s">
        <v>86</v>
      </c>
      <c r="AV2" s="90" t="s">
        <v>125</v>
      </c>
      <c r="AW2" s="90" t="s">
        <v>86</v>
      </c>
      <c r="AX2" s="90" t="s">
        <v>86</v>
      </c>
      <c r="AY2" s="91" t="s">
        <v>126</v>
      </c>
      <c r="AZ2" s="91" t="s">
        <v>86</v>
      </c>
      <c r="BA2" s="91" t="s">
        <v>86</v>
      </c>
      <c r="BB2" s="91" t="s">
        <v>127</v>
      </c>
      <c r="BC2" s="91" t="s">
        <v>86</v>
      </c>
      <c r="BD2" s="91" t="s">
        <v>86</v>
      </c>
      <c r="BE2" s="91" t="s">
        <v>128</v>
      </c>
      <c r="BF2" s="91" t="s">
        <v>86</v>
      </c>
      <c r="BG2" s="91" t="s">
        <v>86</v>
      </c>
      <c r="BH2" s="92" t="s">
        <v>129</v>
      </c>
      <c r="BI2" s="92" t="s">
        <v>86</v>
      </c>
      <c r="BJ2" s="92" t="s">
        <v>86</v>
      </c>
      <c r="BK2" s="92" t="s">
        <v>130</v>
      </c>
      <c r="BL2" s="92" t="s">
        <v>86</v>
      </c>
      <c r="BM2" s="92" t="s">
        <v>86</v>
      </c>
      <c r="BN2" s="92" t="s">
        <v>131</v>
      </c>
      <c r="BO2" s="92" t="s">
        <v>86</v>
      </c>
      <c r="BP2" s="92" t="s">
        <v>86</v>
      </c>
      <c r="BQ2" s="92" t="s">
        <v>132</v>
      </c>
      <c r="BR2" s="92" t="s">
        <v>86</v>
      </c>
      <c r="BS2" s="92" t="s">
        <v>86</v>
      </c>
      <c r="BT2" s="92" t="s">
        <v>133</v>
      </c>
      <c r="BU2" s="92" t="s">
        <v>86</v>
      </c>
      <c r="BV2" s="92" t="s">
        <v>86</v>
      </c>
      <c r="BW2" s="92" t="s">
        <v>134</v>
      </c>
      <c r="BX2" s="92" t="s">
        <v>86</v>
      </c>
      <c r="BY2" s="92" t="s">
        <v>86</v>
      </c>
      <c r="BZ2" s="92" t="s">
        <v>135</v>
      </c>
      <c r="CA2" s="92" t="s">
        <v>86</v>
      </c>
      <c r="CB2" s="92" t="s">
        <v>86</v>
      </c>
      <c r="CC2" s="92" t="s">
        <v>136</v>
      </c>
      <c r="CD2" s="92" t="s">
        <v>86</v>
      </c>
      <c r="CE2" s="92" t="s">
        <v>86</v>
      </c>
      <c r="CF2" s="92" t="s">
        <v>137</v>
      </c>
      <c r="CG2" s="92" t="s">
        <v>86</v>
      </c>
      <c r="CH2" s="92" t="s">
        <v>86</v>
      </c>
    </row>
    <row r="3" spans="1:86" s="86" customFormat="1" x14ac:dyDescent="0.3">
      <c r="A3" s="89" t="s">
        <v>87</v>
      </c>
      <c r="B3" s="89" t="s">
        <v>88</v>
      </c>
      <c r="C3" s="89" t="s">
        <v>89</v>
      </c>
      <c r="D3" s="89" t="s">
        <v>90</v>
      </c>
      <c r="E3" s="89" t="s">
        <v>91</v>
      </c>
      <c r="F3" s="89" t="s">
        <v>92</v>
      </c>
      <c r="G3" s="89" t="s">
        <v>93</v>
      </c>
      <c r="H3" s="89" t="s">
        <v>94</v>
      </c>
      <c r="I3" s="89" t="s">
        <v>95</v>
      </c>
      <c r="J3" s="89" t="s">
        <v>96</v>
      </c>
      <c r="K3" s="89" t="s">
        <v>97</v>
      </c>
      <c r="L3" s="89" t="s">
        <v>98</v>
      </c>
      <c r="M3" s="89" t="s">
        <v>99</v>
      </c>
      <c r="N3" s="89" t="s">
        <v>100</v>
      </c>
      <c r="O3" s="87" t="s">
        <v>101</v>
      </c>
      <c r="P3" s="87" t="s">
        <v>102</v>
      </c>
      <c r="Q3" s="87" t="s">
        <v>103</v>
      </c>
      <c r="R3" s="87" t="s">
        <v>101</v>
      </c>
      <c r="S3" s="87" t="s">
        <v>102</v>
      </c>
      <c r="T3" s="87" t="s">
        <v>103</v>
      </c>
      <c r="U3" s="87" t="s">
        <v>101</v>
      </c>
      <c r="V3" s="87" t="s">
        <v>102</v>
      </c>
      <c r="W3" s="87" t="s">
        <v>103</v>
      </c>
      <c r="X3" s="87" t="s">
        <v>101</v>
      </c>
      <c r="Y3" s="87" t="s">
        <v>102</v>
      </c>
      <c r="Z3" s="87" t="s">
        <v>103</v>
      </c>
      <c r="AA3" s="87" t="s">
        <v>101</v>
      </c>
      <c r="AB3" s="87" t="s">
        <v>102</v>
      </c>
      <c r="AC3" s="87" t="s">
        <v>103</v>
      </c>
      <c r="AD3" s="87" t="s">
        <v>101</v>
      </c>
      <c r="AE3" s="87" t="s">
        <v>102</v>
      </c>
      <c r="AF3" s="87" t="s">
        <v>103</v>
      </c>
      <c r="AG3" s="87" t="s">
        <v>101</v>
      </c>
      <c r="AH3" s="87" t="s">
        <v>102</v>
      </c>
      <c r="AI3" s="87" t="s">
        <v>103</v>
      </c>
      <c r="AJ3" s="87" t="s">
        <v>101</v>
      </c>
      <c r="AK3" s="87" t="s">
        <v>102</v>
      </c>
      <c r="AL3" s="87" t="s">
        <v>103</v>
      </c>
      <c r="AM3" s="87" t="s">
        <v>101</v>
      </c>
      <c r="AN3" s="87" t="s">
        <v>102</v>
      </c>
      <c r="AO3" s="87" t="s">
        <v>103</v>
      </c>
      <c r="AP3" s="87" t="s">
        <v>101</v>
      </c>
      <c r="AQ3" s="87" t="s">
        <v>102</v>
      </c>
      <c r="AR3" s="87" t="s">
        <v>103</v>
      </c>
      <c r="AS3" s="87" t="s">
        <v>101</v>
      </c>
      <c r="AT3" s="87" t="s">
        <v>102</v>
      </c>
      <c r="AU3" s="87" t="s">
        <v>103</v>
      </c>
      <c r="AV3" s="87" t="s">
        <v>101</v>
      </c>
      <c r="AW3" s="87" t="s">
        <v>102</v>
      </c>
      <c r="AX3" s="87" t="s">
        <v>103</v>
      </c>
      <c r="AY3" s="88" t="s">
        <v>101</v>
      </c>
      <c r="AZ3" s="88" t="s">
        <v>102</v>
      </c>
      <c r="BA3" s="88" t="s">
        <v>103</v>
      </c>
      <c r="BB3" s="88" t="s">
        <v>101</v>
      </c>
      <c r="BC3" s="88" t="s">
        <v>102</v>
      </c>
      <c r="BD3" s="88" t="s">
        <v>103</v>
      </c>
      <c r="BE3" s="88" t="s">
        <v>101</v>
      </c>
      <c r="BF3" s="88" t="s">
        <v>102</v>
      </c>
      <c r="BG3" s="88" t="s">
        <v>103</v>
      </c>
      <c r="BH3" s="89" t="s">
        <v>101</v>
      </c>
      <c r="BI3" s="89" t="s">
        <v>102</v>
      </c>
      <c r="BJ3" s="89" t="s">
        <v>103</v>
      </c>
      <c r="BK3" s="89" t="s">
        <v>101</v>
      </c>
      <c r="BL3" s="89" t="s">
        <v>102</v>
      </c>
      <c r="BM3" s="89" t="s">
        <v>103</v>
      </c>
      <c r="BN3" s="89" t="s">
        <v>101</v>
      </c>
      <c r="BO3" s="89" t="s">
        <v>102</v>
      </c>
      <c r="BP3" s="89" t="s">
        <v>103</v>
      </c>
      <c r="BQ3" s="89" t="s">
        <v>101</v>
      </c>
      <c r="BR3" s="89" t="s">
        <v>102</v>
      </c>
      <c r="BS3" s="89" t="s">
        <v>103</v>
      </c>
      <c r="BT3" s="89" t="s">
        <v>101</v>
      </c>
      <c r="BU3" s="89" t="s">
        <v>102</v>
      </c>
      <c r="BV3" s="89" t="s">
        <v>103</v>
      </c>
      <c r="BW3" s="89" t="s">
        <v>101</v>
      </c>
      <c r="BX3" s="89" t="s">
        <v>102</v>
      </c>
      <c r="BY3" s="89" t="s">
        <v>103</v>
      </c>
      <c r="BZ3" s="89" t="s">
        <v>101</v>
      </c>
      <c r="CA3" s="89" t="s">
        <v>102</v>
      </c>
      <c r="CB3" s="89" t="s">
        <v>103</v>
      </c>
      <c r="CC3" s="89" t="s">
        <v>101</v>
      </c>
      <c r="CD3" s="89" t="s">
        <v>102</v>
      </c>
      <c r="CE3" s="89" t="s">
        <v>103</v>
      </c>
      <c r="CF3" s="89" t="s">
        <v>101</v>
      </c>
      <c r="CG3" s="89" t="s">
        <v>102</v>
      </c>
      <c r="CH3" s="89" t="s">
        <v>103</v>
      </c>
    </row>
    <row r="4" spans="1:86" x14ac:dyDescent="0.3">
      <c r="A4" t="s">
        <v>109</v>
      </c>
      <c r="B4" t="s">
        <v>104</v>
      </c>
      <c r="C4" t="s">
        <v>105</v>
      </c>
      <c r="D4" t="s">
        <v>86</v>
      </c>
      <c r="E4" t="s">
        <v>110</v>
      </c>
      <c r="F4" t="s">
        <v>111</v>
      </c>
      <c r="G4" t="s">
        <v>106</v>
      </c>
      <c r="H4" t="s">
        <v>86</v>
      </c>
      <c r="I4" t="s">
        <v>107</v>
      </c>
      <c r="J4" t="s">
        <v>108</v>
      </c>
      <c r="K4" t="s">
        <v>108</v>
      </c>
      <c r="L4" t="s">
        <v>86</v>
      </c>
      <c r="M4" t="s">
        <v>112</v>
      </c>
      <c r="N4" t="s">
        <v>113</v>
      </c>
      <c r="O4">
        <v>50</v>
      </c>
      <c r="P4">
        <v>100</v>
      </c>
      <c r="Q4">
        <f>IFERROR(SUMPRODUCT(--($F$1:$F$2999=$F4)*($K$1:$K$2999=$K4),O$1:O$2999,P$1:P$2999)/SUMIFS(P$1:P$2999,$F$1:$F$2999,$F4,$K$1:$K$2999,$K4),"")</f>
        <v>50</v>
      </c>
      <c r="R4">
        <v>50</v>
      </c>
      <c r="S4">
        <v>100</v>
      </c>
      <c r="T4">
        <f>IFERROR(SUMPRODUCT(--($F$1:$F$2999=$F4)*($K$1:$K$2999=$K4),R$1:R$2999,S$1:S$2999)/SUMIFS(S$1:S$2999,$F$1:$F$2999,$F4,$K$1:$K$2999,$K4),"")</f>
        <v>50</v>
      </c>
      <c r="U4">
        <v>50</v>
      </c>
      <c r="V4">
        <v>100</v>
      </c>
      <c r="W4">
        <f>IFERROR(SUMPRODUCT(--($F$1:$F$2999=$F4)*($K$1:$K$2999=$K4),U$1:U$2999,V$1:V$2999)/SUMIFS(V$1:V$2999,$F$1:$F$2999,$F4,$K$1:$K$2999,$K4),"")</f>
        <v>50</v>
      </c>
      <c r="X4">
        <v>50</v>
      </c>
      <c r="Y4">
        <v>100</v>
      </c>
      <c r="Z4">
        <f>IFERROR(SUMPRODUCT(--($F$1:$F$2999=$F4)*($K$1:$K$2999=$K4),X$1:X$2999,Y$1:Y$2999)/SUMIFS(Y$1:Y$2999,$F$1:$F$2999,$F4,$K$1:$K$2999,$K4),"")</f>
        <v>50</v>
      </c>
      <c r="AA4">
        <v>50</v>
      </c>
      <c r="AB4">
        <v>100</v>
      </c>
      <c r="AC4">
        <f>IFERROR(SUMPRODUCT(--($F$1:$F$2999=$F4)*($K$1:$K$2999=$K4),AA$1:AA$2999,AB$1:AB$2999)/SUMIFS(AB$1:AB$2999,$F$1:$F$2999,$F4,$K$1:$K$2999,$K4),"")</f>
        <v>50</v>
      </c>
      <c r="AD4">
        <v>50</v>
      </c>
      <c r="AE4">
        <v>100</v>
      </c>
      <c r="AF4">
        <f>IFERROR(SUMPRODUCT(--($F$1:$F$2999=$F4)*($K$1:$K$2999=$K4),AD$1:AD$2999,AE$1:AE$2999)/SUMIFS(AE$1:AE$2999,$F$1:$F$2999,$F4,$K$1:$K$2999,$K4),"")</f>
        <v>50</v>
      </c>
      <c r="AG4">
        <v>50</v>
      </c>
      <c r="AH4">
        <v>100</v>
      </c>
      <c r="AI4">
        <f>IFERROR(SUMPRODUCT(--($F$1:$F$2999=$F4)*($K$1:$K$2999=$K4),AG$1:AG$2999,AH$1:AH$2999)/SUMIFS(AH$1:AH$2999,$F$1:$F$2999,$F4,$K$1:$K$2999,$K4),"")</f>
        <v>50</v>
      </c>
      <c r="AJ4">
        <v>50</v>
      </c>
      <c r="AK4">
        <v>100</v>
      </c>
      <c r="AL4">
        <f>IFERROR(SUMPRODUCT(--($F$1:$F$2999=$F4)*($K$1:$K$2999=$K4),AJ$1:AJ$2999,AK$1:AK$2999)/SUMIFS(AK$1:AK$2999,$F$1:$F$2999,$F4,$K$1:$K$2999,$K4),"")</f>
        <v>50</v>
      </c>
      <c r="AM4">
        <v>50</v>
      </c>
      <c r="AN4">
        <v>100</v>
      </c>
      <c r="AO4">
        <f>IFERROR(SUMPRODUCT(--($F$1:$F$2999=$F4)*($K$1:$K$2999=$K4),AM$1:AM$2999,AN$1:AN$2999)/SUMIFS(AN$1:AN$2999,$F$1:$F$2999,$F4,$K$1:$K$2999,$K4),"")</f>
        <v>50</v>
      </c>
      <c r="AP4">
        <v>50</v>
      </c>
      <c r="AQ4">
        <v>100</v>
      </c>
      <c r="AR4">
        <f>IFERROR(SUMPRODUCT(--($F$1:$F$2999=$F4)*($K$1:$K$2999=$K4),AP$1:AP$2999,AQ$1:AQ$2999)/SUMIFS(AQ$1:AQ$2999,$F$1:$F$2999,$F4,$K$1:$K$2999,$K4),"")</f>
        <v>50</v>
      </c>
      <c r="AS4">
        <v>50</v>
      </c>
      <c r="AT4">
        <v>100</v>
      </c>
      <c r="AU4">
        <f>IFERROR(SUMPRODUCT(--($F$1:$F$2999=$F4)*($K$1:$K$2999=$K4),AS$1:AS$2999,AT$1:AT$2999)/SUMIFS(AT$1:AT$2999,$F$1:$F$2999,$F4,$K$1:$K$2999,$K4),"")</f>
        <v>50</v>
      </c>
      <c r="AV4">
        <v>50</v>
      </c>
      <c r="AW4">
        <v>100</v>
      </c>
      <c r="AX4">
        <f>IFERROR(SUMPRODUCT(--($F$1:$F$2999=$F4)*($K$1:$K$2999=$K4),AV$1:AV$2999,AW$1:AW$2999)/SUMIFS(AW$1:AW$2999,$F$1:$F$2999,$F4,$K$1:$K$2999,$K4),"")</f>
        <v>50</v>
      </c>
      <c r="AY4">
        <v>34</v>
      </c>
      <c r="AZ4">
        <v>100</v>
      </c>
      <c r="BA4">
        <f>IFERROR(SUMPRODUCT(--($F$1:$F$2999=$F4)*($K$1:$K$2999=$K4),AY$1:AY$2999,AZ$1:AZ$2999)/SUMIFS(AZ$1:AZ$2999,$F$1:$F$2999,$F4,$K$1:$K$2999,$K4),"")</f>
        <v>34</v>
      </c>
      <c r="BB4">
        <v>20</v>
      </c>
      <c r="BC4">
        <v>100</v>
      </c>
      <c r="BD4">
        <f>IFERROR(SUMPRODUCT(--($F$1:$F$2999=$F4)*($K$1:$K$2999=$K4),BB$1:BB$2999,BC$1:BC$2999)/SUMIFS(BC$1:BC$2999,$F$1:$F$2999,$F4,$K$1:$K$2999,$K4),"")</f>
        <v>20</v>
      </c>
      <c r="BE4">
        <v>45.4</v>
      </c>
      <c r="BF4">
        <v>100</v>
      </c>
      <c r="BG4">
        <f>IFERROR(SUMPRODUCT(--($F$1:$F$2999=$F4)*($K$1:$K$2999=$K4),BE$1:BE$2999,BF$1:BF$2999)/SUMIFS(BF$1:BF$2999,$F$1:$F$2999,$F4,$K$1:$K$2999,$K4),"")</f>
        <v>45.4</v>
      </c>
      <c r="BH4">
        <v>34</v>
      </c>
      <c r="BI4">
        <v>100</v>
      </c>
      <c r="BJ4">
        <f>IFERROR(SUMPRODUCT(--($F$1:$F$2999=$F4)*($K$1:$K$2999=$K4),BH$1:BH$2999,BI$1:BI$2999)/SUMIFS(BI$1:BI$2999,$F$1:$F$2999,$F4,$K$1:$K$2999,$K4),"")</f>
        <v>34</v>
      </c>
      <c r="BK4">
        <v>34</v>
      </c>
      <c r="BL4">
        <v>100</v>
      </c>
      <c r="BM4">
        <f>IFERROR(SUMPRODUCT(--($F$1:$F$2999=$F4)*($K$1:$K$2999=$K4),BK$1:BK$2999,BL$1:BL$2999)/SUMIFS(BL$1:BL$2999,$F$1:$F$2999,$F4,$K$1:$K$2999,$K4),"")</f>
        <v>34</v>
      </c>
      <c r="BN4">
        <v>34</v>
      </c>
      <c r="BO4">
        <v>100</v>
      </c>
      <c r="BP4">
        <f>IFERROR(SUMPRODUCT(--($F$1:$F$2999=$F4)*($K$1:$K$2999=$K4),BN$1:BN$2999,BO$1:BO$2999)/SUMIFS(BO$1:BO$2999,$F$1:$F$2999,$F4,$K$1:$K$2999,$K4),"")</f>
        <v>34</v>
      </c>
      <c r="BQ4">
        <v>56</v>
      </c>
      <c r="BR4">
        <v>100</v>
      </c>
      <c r="BS4">
        <f>IFERROR(SUMPRODUCT(--($F$1:$F$2999=$F4)*($K$1:$K$2999=$K4),BQ$1:BQ$2999,BR$1:BR$2999)/SUMIFS(BR$1:BR$2999,$F$1:$F$2999,$F4,$K$1:$K$2999,$K4),"")</f>
        <v>56</v>
      </c>
      <c r="BT4">
        <v>56</v>
      </c>
      <c r="BU4">
        <v>100</v>
      </c>
      <c r="BV4">
        <f>IFERROR(SUMPRODUCT(--($F$1:$F$2999=$F4)*($K$1:$K$2999=$K4),BT$1:BT$2999,BU$1:BU$2999)/SUMIFS(BU$1:BU$2999,$F$1:$F$2999,$F4,$K$1:$K$2999,$K4),"")</f>
        <v>56</v>
      </c>
      <c r="BW4">
        <v>56</v>
      </c>
      <c r="BX4">
        <v>100</v>
      </c>
      <c r="BY4">
        <f>IFERROR(SUMPRODUCT(--($F$1:$F$2999=$F4)*($K$1:$K$2999=$K4),BW$1:BW$2999,BX$1:BX$2999)/SUMIFS(BX$1:BX$2999,$F$1:$F$2999,$F4,$K$1:$K$2999,$K4),"")</f>
        <v>56</v>
      </c>
      <c r="BZ4">
        <v>56</v>
      </c>
      <c r="CA4">
        <v>100</v>
      </c>
      <c r="CB4">
        <f>IFERROR(SUMPRODUCT(--($F$1:$F$2999=$F4)*($K$1:$K$2999=$K4),BZ$1:BZ$2999,CA$1:CA$2999)/SUMIFS(CA$1:CA$2999,$F$1:$F$2999,$F4,$K$1:$K$2999,$K4),"")</f>
        <v>56</v>
      </c>
      <c r="CC4">
        <v>45</v>
      </c>
      <c r="CD4">
        <v>100</v>
      </c>
      <c r="CE4">
        <f>IFERROR(SUMPRODUCT(--($F$1:$F$2999=$F4)*($K$1:$K$2999=$K4),CC$1:CC$2999,CD$1:CD$2999)/SUMIFS(CD$1:CD$2999,$F$1:$F$2999,$F4,$K$1:$K$2999,$K4),"")</f>
        <v>45</v>
      </c>
      <c r="CF4">
        <v>45</v>
      </c>
      <c r="CG4">
        <v>100</v>
      </c>
      <c r="CH4">
        <f>IFERROR(SUMPRODUCT(--($F$1:$F$2999=$F4)*($K$1:$K$2999=$K4),CF$1:CF$2999,CG$1:CG$2999)/SUMIFS(CG$1:CG$2999,$F$1:$F$2999,$F4,$K$1:$K$2999,$K4),"")</f>
        <v>45</v>
      </c>
    </row>
  </sheetData>
  <mergeCells count="24">
    <mergeCell ref="BW2:BY2"/>
    <mergeCell ref="BZ2:CB2"/>
    <mergeCell ref="CC2:CE2"/>
    <mergeCell ref="CF2:CH2"/>
    <mergeCell ref="BH2:BJ2"/>
    <mergeCell ref="BK2:BM2"/>
    <mergeCell ref="BN2:BP2"/>
    <mergeCell ref="BQ2:BS2"/>
    <mergeCell ref="BT2:BV2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2021-05-29T10:51:59Z</dcterms:created>
  <dcterms:modified xsi:type="dcterms:W3CDTF">2021-06-28T07:02:00Z</dcterms:modified>
</cp:coreProperties>
</file>