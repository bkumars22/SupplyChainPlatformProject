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wamy\git\selenium-e2mcm\src\test\resources\com\e2open\selenium\e2mcm\data\"/>
    </mc:Choice>
  </mc:AlternateContent>
  <xr:revisionPtr revIDLastSave="0" documentId="13_ncr:1_{E2162103-9461-40A5-889D-AA4B9F896D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ceT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9" i="1" l="1"/>
  <c r="AU9" i="1"/>
  <c r="AR9" i="1"/>
  <c r="AO9" i="1"/>
  <c r="AL9" i="1"/>
  <c r="AI9" i="1"/>
  <c r="AF9" i="1"/>
  <c r="AC9" i="1"/>
  <c r="Z9" i="1"/>
  <c r="W9" i="1"/>
  <c r="T9" i="1"/>
  <c r="Q9" i="1"/>
  <c r="AX8" i="1"/>
  <c r="AU8" i="1"/>
  <c r="AR8" i="1"/>
  <c r="AO8" i="1"/>
  <c r="AL8" i="1"/>
  <c r="AI8" i="1"/>
  <c r="AF8" i="1"/>
  <c r="AC8" i="1"/>
  <c r="Z8" i="1"/>
  <c r="W8" i="1"/>
  <c r="T8" i="1"/>
  <c r="Q8" i="1"/>
  <c r="AX7" i="1"/>
  <c r="AU7" i="1"/>
  <c r="AR7" i="1"/>
  <c r="AO7" i="1"/>
  <c r="AL7" i="1"/>
  <c r="AI7" i="1"/>
  <c r="AF7" i="1"/>
  <c r="AC7" i="1"/>
  <c r="Z7" i="1"/>
  <c r="W7" i="1"/>
  <c r="T7" i="1"/>
  <c r="Q7" i="1"/>
  <c r="AX6" i="1"/>
  <c r="AU6" i="1"/>
  <c r="AR6" i="1"/>
  <c r="AO6" i="1"/>
  <c r="AL6" i="1"/>
  <c r="AI6" i="1"/>
  <c r="AF6" i="1"/>
  <c r="AC6" i="1"/>
  <c r="Z6" i="1"/>
  <c r="W6" i="1"/>
  <c r="T6" i="1"/>
  <c r="Q6" i="1"/>
  <c r="AX5" i="1"/>
  <c r="AU5" i="1"/>
  <c r="AR5" i="1"/>
  <c r="AO5" i="1"/>
  <c r="AL5" i="1"/>
  <c r="AI5" i="1"/>
  <c r="AF5" i="1"/>
  <c r="AC5" i="1"/>
  <c r="Z5" i="1"/>
  <c r="W5" i="1"/>
  <c r="T5" i="1"/>
  <c r="Q5" i="1"/>
  <c r="AX4" i="1"/>
  <c r="AU4" i="1"/>
  <c r="AR4" i="1"/>
  <c r="AO4" i="1"/>
  <c r="AL4" i="1"/>
  <c r="AI4" i="1"/>
  <c r="AF4" i="1"/>
  <c r="AC4" i="1"/>
  <c r="Z4" i="1"/>
  <c r="W4" i="1"/>
  <c r="T4" i="1"/>
  <c r="Q4" i="1"/>
</calcChain>
</file>

<file path=xl/sharedStrings.xml><?xml version="1.0" encoding="utf-8"?>
<sst xmlns="http://schemas.openxmlformats.org/spreadsheetml/2006/main" count="280" uniqueCount="95">
  <si>
    <t>itemIdentifier</t>
  </si>
  <si>
    <t>businessEntity</t>
  </si>
  <si>
    <t>businessEntityType</t>
  </si>
  <si>
    <t>manufacturerPart</t>
  </si>
  <si>
    <t>fromBusinessEntity</t>
  </si>
  <si>
    <t>fgName</t>
  </si>
  <si>
    <t>fgType</t>
  </si>
  <si>
    <t>platform</t>
  </si>
  <si>
    <t>costType</t>
  </si>
  <si>
    <t>site</t>
  </si>
  <si>
    <t>siteTAM</t>
  </si>
  <si>
    <t>pastEffectiveOffset</t>
  </si>
  <si>
    <t>uploadType</t>
  </si>
  <si>
    <t>pastUpdate</t>
  </si>
  <si>
    <t>M1P</t>
  </si>
  <si>
    <t>M1T</t>
  </si>
  <si>
    <t>M1W</t>
  </si>
  <si>
    <t>M2P</t>
  </si>
  <si>
    <t>M2T</t>
  </si>
  <si>
    <t>M2W</t>
  </si>
  <si>
    <t>M3P</t>
  </si>
  <si>
    <t>M3T</t>
  </si>
  <si>
    <t>M3W</t>
  </si>
  <si>
    <t>M4P</t>
  </si>
  <si>
    <t>M4T</t>
  </si>
  <si>
    <t>M4W</t>
  </si>
  <si>
    <t>M5P</t>
  </si>
  <si>
    <t>M5T</t>
  </si>
  <si>
    <t>M5W</t>
  </si>
  <si>
    <t>M6P</t>
  </si>
  <si>
    <t>M6T</t>
  </si>
  <si>
    <t>M6W</t>
  </si>
  <si>
    <t>M7P</t>
  </si>
  <si>
    <t>M7T</t>
  </si>
  <si>
    <t>M7W</t>
  </si>
  <si>
    <t>M8P</t>
  </si>
  <si>
    <t>M8T</t>
  </si>
  <si>
    <t>M8W</t>
  </si>
  <si>
    <t>M9P</t>
  </si>
  <si>
    <t>M9T</t>
  </si>
  <si>
    <t>M9W</t>
  </si>
  <si>
    <t>M10P</t>
  </si>
  <si>
    <t>M10T</t>
  </si>
  <si>
    <t>M10W</t>
  </si>
  <si>
    <t>M11P</t>
  </si>
  <si>
    <t>M11T</t>
  </si>
  <si>
    <t>M11W</t>
  </si>
  <si>
    <t>M12P</t>
  </si>
  <si>
    <t>M12T</t>
  </si>
  <si>
    <t>M12W</t>
  </si>
  <si>
    <t>FY2022FQ02FM06
(M1)
26 Jun 2021</t>
  </si>
  <si>
    <t/>
  </si>
  <si>
    <t>FY2022FQ03FM07
(M2)
31 Jul 2021</t>
  </si>
  <si>
    <t>FY2022FQ03FM08
(M3)
28 Aug 2021</t>
  </si>
  <si>
    <t>FY2022FQ03FM09
(M4)
25 Sep 2021</t>
  </si>
  <si>
    <t>FY2022FQ04FM10
(M5)
30 Oct 2021</t>
  </si>
  <si>
    <t>FY2022FQ04FM11
(M6)
27 Nov 2021</t>
  </si>
  <si>
    <t>FY2022FQ04FM12
(M7)
25 Dec 2021</t>
  </si>
  <si>
    <t>FY2023FQ01FM01
(M8)
29 Jan 2022</t>
  </si>
  <si>
    <t>FY2023FQ01FM02
(M9)
26 Feb 2022</t>
  </si>
  <si>
    <t>FY2023FQ01FM03
(M10)
26 Mar 2022</t>
  </si>
  <si>
    <t>FY2023FQ02FM04
(M11)
30 Apr 2022</t>
  </si>
  <si>
    <t>FY2023FQ02FM05
(M12)
28 May 2022</t>
  </si>
  <si>
    <t>Item Number</t>
  </si>
  <si>
    <t>Item Business Entity</t>
  </si>
  <si>
    <t>Item Business Entity Type</t>
  </si>
  <si>
    <t>Manufacturer Part</t>
  </si>
  <si>
    <t>Supplier</t>
  </si>
  <si>
    <t>FG Name</t>
  </si>
  <si>
    <t>FG Type</t>
  </si>
  <si>
    <t>Platform</t>
  </si>
  <si>
    <t>Cost Type</t>
  </si>
  <si>
    <t>Destination Site Price</t>
  </si>
  <si>
    <t>Site TAM</t>
  </si>
  <si>
    <t>Price Effective Offset</t>
  </si>
  <si>
    <t>Update Type</t>
  </si>
  <si>
    <t>Price/TAM Backdate/Change Flag</t>
  </si>
  <si>
    <t>Price</t>
  </si>
  <si>
    <t>TAM</t>
  </si>
  <si>
    <t>WAP</t>
  </si>
  <si>
    <t>34140</t>
  </si>
  <si>
    <t>DELL</t>
  </si>
  <si>
    <t>ENTERPRISE</t>
  </si>
  <si>
    <t>MOTOROLA</t>
  </si>
  <si>
    <t>XLOB_DELETE_TEMPLATE</t>
  </si>
  <si>
    <t>XLOB</t>
  </si>
  <si>
    <t>DAO</t>
  </si>
  <si>
    <t>34344</t>
  </si>
  <si>
    <t>BANTA</t>
  </si>
  <si>
    <t>DAO-BRH</t>
  </si>
  <si>
    <t>WW</t>
  </si>
  <si>
    <t>BUY</t>
  </si>
  <si>
    <t>Y</t>
  </si>
  <si>
    <t>MPN1</t>
  </si>
  <si>
    <t>MPN2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</si>
</sst>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2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6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4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2" xfId="0" applyFill="1" applyBorder="1"/>
    <xf numFmtId="0" fontId="0" fillId="3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9"/>
  <sheetViews>
    <sheetView tabSelected="1" topLeftCell="A2" workbookViewId="0">
      <selection activeCell="F19" sqref="F19"/>
    </sheetView>
  </sheetViews>
  <sheetFormatPr defaultRowHeight="14.4" x14ac:dyDescent="0.3"/>
  <cols>
    <col min="1" max="1" width="12.21875" bestFit="1" customWidth="1"/>
    <col min="2" max="2" width="18" bestFit="1" customWidth="1"/>
    <col min="3" max="3" width="22.6640625" bestFit="1" customWidth="1"/>
    <col min="4" max="5" width="16.6640625" bestFit="1" customWidth="1"/>
    <col min="6" max="6" width="22.44140625" bestFit="1" customWidth="1"/>
    <col min="7" max="7" width="7.6640625" bestFit="1" customWidth="1"/>
    <col min="8" max="8" width="8.33203125" bestFit="1" customWidth="1"/>
    <col min="9" max="9" width="9.21875" bestFit="1" customWidth="1"/>
    <col min="10" max="10" width="18.88671875" bestFit="1" customWidth="1"/>
    <col min="11" max="11" width="8.77734375" bestFit="1" customWidth="1"/>
    <col min="12" max="12" width="18.6640625" bestFit="1" customWidth="1"/>
    <col min="13" max="13" width="11.77734375" bestFit="1" customWidth="1"/>
    <col min="14" max="14" width="29.77734375" bestFit="1" customWidth="1"/>
    <col min="15" max="15" width="5.109375" bestFit="1" customWidth="1"/>
    <col min="16" max="16" width="5" bestFit="1" customWidth="1"/>
    <col min="17" max="17" width="5.44140625" bestFit="1" customWidth="1"/>
    <col min="18" max="18" width="5.109375" bestFit="1" customWidth="1"/>
    <col min="19" max="19" width="5" bestFit="1" customWidth="1"/>
    <col min="20" max="20" width="5.44140625" bestFit="1" customWidth="1"/>
    <col min="21" max="21" width="5.109375" bestFit="1" customWidth="1"/>
    <col min="22" max="22" width="5" bestFit="1" customWidth="1"/>
    <col min="23" max="23" width="5.44140625" bestFit="1" customWidth="1"/>
    <col min="24" max="24" width="5.109375" bestFit="1" customWidth="1"/>
    <col min="25" max="25" width="5" bestFit="1" customWidth="1"/>
    <col min="26" max="26" width="5.44140625" bestFit="1" customWidth="1"/>
    <col min="27" max="27" width="5.109375" bestFit="1" customWidth="1"/>
    <col min="28" max="28" width="5" bestFit="1" customWidth="1"/>
    <col min="29" max="29" width="5.44140625" bestFit="1" customWidth="1"/>
    <col min="30" max="30" width="5.109375" bestFit="1" customWidth="1"/>
    <col min="31" max="31" width="5" bestFit="1" customWidth="1"/>
    <col min="32" max="32" width="5.44140625" bestFit="1" customWidth="1"/>
    <col min="33" max="33" width="5.109375" bestFit="1" customWidth="1"/>
    <col min="34" max="34" width="5" bestFit="1" customWidth="1"/>
    <col min="35" max="35" width="5.44140625" bestFit="1" customWidth="1"/>
    <col min="36" max="36" width="5.109375" bestFit="1" customWidth="1"/>
    <col min="37" max="37" width="5" bestFit="1" customWidth="1"/>
    <col min="38" max="38" width="5.44140625" bestFit="1" customWidth="1"/>
    <col min="39" max="39" width="5.109375" bestFit="1" customWidth="1"/>
    <col min="40" max="40" width="5" bestFit="1" customWidth="1"/>
    <col min="41" max="41" width="5.44140625" bestFit="1" customWidth="1"/>
    <col min="42" max="43" width="5.6640625" bestFit="1" customWidth="1"/>
    <col min="44" max="44" width="6.44140625" bestFit="1" customWidth="1"/>
    <col min="45" max="46" width="5.6640625" bestFit="1" customWidth="1"/>
    <col min="47" max="47" width="6.44140625" bestFit="1" customWidth="1"/>
    <col min="48" max="49" width="5.6640625" bestFit="1" customWidth="1"/>
    <col min="50" max="50" width="6.44140625" bestFit="1" customWidth="1"/>
  </cols>
  <sheetData>
    <row r="1" spans="1:50" hidden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  <c r="AM1" s="39" t="s">
        <v>38</v>
      </c>
      <c r="AN1" s="40" t="s">
        <v>39</v>
      </c>
      <c r="AO1" s="41" t="s">
        <v>40</v>
      </c>
      <c r="AP1" s="42" t="s">
        <v>41</v>
      </c>
      <c r="AQ1" s="43" t="s">
        <v>42</v>
      </c>
      <c r="AR1" s="44" t="s">
        <v>43</v>
      </c>
      <c r="AS1" s="45" t="s">
        <v>44</v>
      </c>
      <c r="AT1" s="46" t="s">
        <v>45</v>
      </c>
      <c r="AU1" s="47" t="s">
        <v>46</v>
      </c>
      <c r="AV1" s="48" t="s">
        <v>47</v>
      </c>
      <c r="AW1" s="49" t="s">
        <v>48</v>
      </c>
      <c r="AX1" s="50" t="s">
        <v>49</v>
      </c>
    </row>
    <row r="2" spans="1:50" ht="49.95" customHeight="1" x14ac:dyDescent="0.3">
      <c r="O2" s="366" t="s">
        <v>50</v>
      </c>
      <c r="P2" s="366" t="s">
        <v>51</v>
      </c>
      <c r="Q2" s="366" t="s">
        <v>51</v>
      </c>
      <c r="R2" s="366" t="s">
        <v>52</v>
      </c>
      <c r="S2" s="366" t="s">
        <v>51</v>
      </c>
      <c r="T2" s="366" t="s">
        <v>51</v>
      </c>
      <c r="U2" s="366" t="s">
        <v>53</v>
      </c>
      <c r="V2" s="366" t="s">
        <v>51</v>
      </c>
      <c r="W2" s="366" t="s">
        <v>51</v>
      </c>
      <c r="X2" s="365" t="s">
        <v>54</v>
      </c>
      <c r="Y2" s="365" t="s">
        <v>51</v>
      </c>
      <c r="Z2" s="365" t="s">
        <v>51</v>
      </c>
      <c r="AA2" s="365" t="s">
        <v>55</v>
      </c>
      <c r="AB2" s="365" t="s">
        <v>51</v>
      </c>
      <c r="AC2" s="365" t="s">
        <v>51</v>
      </c>
      <c r="AD2" s="365" t="s">
        <v>56</v>
      </c>
      <c r="AE2" s="365" t="s">
        <v>51</v>
      </c>
      <c r="AF2" s="365" t="s">
        <v>51</v>
      </c>
      <c r="AG2" s="365" t="s">
        <v>57</v>
      </c>
      <c r="AH2" s="365" t="s">
        <v>51</v>
      </c>
      <c r="AI2" s="365" t="s">
        <v>51</v>
      </c>
      <c r="AJ2" s="365" t="s">
        <v>58</v>
      </c>
      <c r="AK2" s="365" t="s">
        <v>51</v>
      </c>
      <c r="AL2" s="365" t="s">
        <v>51</v>
      </c>
      <c r="AM2" s="365" t="s">
        <v>59</v>
      </c>
      <c r="AN2" s="365" t="s">
        <v>51</v>
      </c>
      <c r="AO2" s="365" t="s">
        <v>51</v>
      </c>
      <c r="AP2" s="365" t="s">
        <v>60</v>
      </c>
      <c r="AQ2" s="365" t="s">
        <v>51</v>
      </c>
      <c r="AR2" s="365" t="s">
        <v>51</v>
      </c>
      <c r="AS2" s="365" t="s">
        <v>61</v>
      </c>
      <c r="AT2" s="365" t="s">
        <v>51</v>
      </c>
      <c r="AU2" s="365" t="s">
        <v>51</v>
      </c>
      <c r="AV2" s="365" t="s">
        <v>62</v>
      </c>
      <c r="AW2" s="365" t="s">
        <v>51</v>
      </c>
      <c r="AX2" s="365" t="s">
        <v>51</v>
      </c>
    </row>
    <row r="3" spans="1:50" x14ac:dyDescent="0.3">
      <c r="A3" s="51" t="s">
        <v>63</v>
      </c>
      <c r="B3" s="52" t="s">
        <v>64</v>
      </c>
      <c r="C3" s="53" t="s">
        <v>65</v>
      </c>
      <c r="D3" s="54" t="s">
        <v>66</v>
      </c>
      <c r="E3" s="55" t="s">
        <v>67</v>
      </c>
      <c r="F3" s="56" t="s">
        <v>68</v>
      </c>
      <c r="G3" s="57" t="s">
        <v>69</v>
      </c>
      <c r="H3" s="58" t="s">
        <v>70</v>
      </c>
      <c r="I3" s="59" t="s">
        <v>71</v>
      </c>
      <c r="J3" s="60" t="s">
        <v>72</v>
      </c>
      <c r="K3" s="61" t="s">
        <v>73</v>
      </c>
      <c r="L3" s="62" t="s">
        <v>74</v>
      </c>
      <c r="M3" s="63" t="s">
        <v>75</v>
      </c>
      <c r="N3" s="64" t="s">
        <v>76</v>
      </c>
      <c r="O3" s="65" t="s">
        <v>77</v>
      </c>
      <c r="P3" s="66" t="s">
        <v>78</v>
      </c>
      <c r="Q3" s="67" t="s">
        <v>79</v>
      </c>
      <c r="R3" s="68" t="s">
        <v>77</v>
      </c>
      <c r="S3" s="69" t="s">
        <v>78</v>
      </c>
      <c r="T3" s="70" t="s">
        <v>79</v>
      </c>
      <c r="U3" s="71" t="s">
        <v>77</v>
      </c>
      <c r="V3" s="72" t="s">
        <v>78</v>
      </c>
      <c r="W3" s="73" t="s">
        <v>79</v>
      </c>
      <c r="X3" s="74" t="s">
        <v>77</v>
      </c>
      <c r="Y3" s="75" t="s">
        <v>78</v>
      </c>
      <c r="Z3" s="76" t="s">
        <v>79</v>
      </c>
      <c r="AA3" s="77" t="s">
        <v>77</v>
      </c>
      <c r="AB3" s="78" t="s">
        <v>78</v>
      </c>
      <c r="AC3" s="79" t="s">
        <v>79</v>
      </c>
      <c r="AD3" s="80" t="s">
        <v>77</v>
      </c>
      <c r="AE3" s="81" t="s">
        <v>78</v>
      </c>
      <c r="AF3" s="82" t="s">
        <v>79</v>
      </c>
      <c r="AG3" s="83" t="s">
        <v>77</v>
      </c>
      <c r="AH3" s="84" t="s">
        <v>78</v>
      </c>
      <c r="AI3" s="85" t="s">
        <v>79</v>
      </c>
      <c r="AJ3" s="86" t="s">
        <v>77</v>
      </c>
      <c r="AK3" s="87" t="s">
        <v>78</v>
      </c>
      <c r="AL3" s="88" t="s">
        <v>79</v>
      </c>
      <c r="AM3" s="89" t="s">
        <v>77</v>
      </c>
      <c r="AN3" s="90" t="s">
        <v>78</v>
      </c>
      <c r="AO3" s="91" t="s">
        <v>79</v>
      </c>
      <c r="AP3" s="92" t="s">
        <v>77</v>
      </c>
      <c r="AQ3" s="93" t="s">
        <v>78</v>
      </c>
      <c r="AR3" s="94" t="s">
        <v>79</v>
      </c>
      <c r="AS3" s="95" t="s">
        <v>77</v>
      </c>
      <c r="AT3" s="96" t="s">
        <v>78</v>
      </c>
      <c r="AU3" s="97" t="s">
        <v>79</v>
      </c>
      <c r="AV3" s="98" t="s">
        <v>77</v>
      </c>
      <c r="AW3" s="99" t="s">
        <v>78</v>
      </c>
      <c r="AX3" s="100" t="s">
        <v>79</v>
      </c>
    </row>
    <row r="4" spans="1:50" x14ac:dyDescent="0.3">
      <c r="A4" s="101" t="s">
        <v>80</v>
      </c>
      <c r="B4" s="102" t="s">
        <v>81</v>
      </c>
      <c r="C4" s="103" t="s">
        <v>82</v>
      </c>
      <c r="D4" s="104" t="s">
        <v>93</v>
      </c>
      <c r="E4" s="105" t="s">
        <v>83</v>
      </c>
      <c r="F4" s="106" t="s">
        <v>84</v>
      </c>
      <c r="G4" s="107" t="s">
        <v>85</v>
      </c>
      <c r="H4" s="108" t="s">
        <v>51</v>
      </c>
      <c r="I4" s="364" t="s">
        <v>91</v>
      </c>
      <c r="J4" s="364" t="s">
        <v>86</v>
      </c>
      <c r="K4" s="364" t="s">
        <v>86</v>
      </c>
      <c r="L4" s="364" t="s">
        <v>51</v>
      </c>
      <c r="M4" s="364" t="s">
        <v>78</v>
      </c>
      <c r="N4" s="364" t="s">
        <v>92</v>
      </c>
      <c r="O4" s="109">
        <v>33</v>
      </c>
      <c r="P4" s="110">
        <v>50</v>
      </c>
      <c r="Q4" s="111">
        <f t="shared" ref="Q4:Q9" si="0">IFERROR(SUMPRODUCT(--($F$1:$F$3000=$F4)*($K$1:$K$3000=$K4),O$1:O$3000,P$1:P$3000)/SUMIFS(P$1:P$3000,$F$1:$F$3000,$F4,$K$1:$K$3000,$K4),"")</f>
        <v>16.5</v>
      </c>
      <c r="R4" s="112">
        <v>33</v>
      </c>
      <c r="S4" s="113">
        <v>50</v>
      </c>
      <c r="T4" s="114">
        <f t="shared" ref="T4:T9" si="1">IFERROR(SUMPRODUCT(--($F$1:$F$3000=$F4)*($K$1:$K$3000=$K4),R$1:R$3000,S$1:S$3000)/SUMIFS(S$1:S$3000,$F$1:$F$3000,$F4,$K$1:$K$3000,$K4),"")</f>
        <v>16.5</v>
      </c>
      <c r="U4" s="115">
        <v>33</v>
      </c>
      <c r="V4" s="116">
        <v>50</v>
      </c>
      <c r="W4" s="117">
        <f t="shared" ref="W4:W9" si="2">IFERROR(SUMPRODUCT(--($F$1:$F$3000=$F4)*($K$1:$K$3000=$K4),U$1:U$3000,V$1:V$3000)/SUMIFS(V$1:V$3000,$F$1:$F$3000,$F4,$K$1:$K$3000,$K4),"")</f>
        <v>16.5</v>
      </c>
      <c r="X4" s="118">
        <v>33</v>
      </c>
      <c r="Y4" s="119">
        <v>50</v>
      </c>
      <c r="Z4" s="120">
        <f t="shared" ref="Z4:Z9" si="3">IFERROR(SUMPRODUCT(--($F$1:$F$3000=$F4)*($K$1:$K$3000=$K4),X$1:X$3000,Y$1:Y$3000)/SUMIFS(Y$1:Y$3000,$F$1:$F$3000,$F4,$K$1:$K$3000,$K4),"")</f>
        <v>16.5</v>
      </c>
      <c r="AA4" s="121" t="s">
        <v>51</v>
      </c>
      <c r="AB4" s="122">
        <v>50</v>
      </c>
      <c r="AC4" s="123">
        <f t="shared" ref="AC4:AC9" si="4">IFERROR(SUMPRODUCT(--($F$1:$F$3000=$F4)*($K$1:$K$3000=$K4),AA$1:AA$3000,AB$1:AB$3000)/SUMIFS(AB$1:AB$3000,$F$1:$F$3000,$F4,$K$1:$K$3000,$K4),"")</f>
        <v>0</v>
      </c>
      <c r="AD4" s="124" t="s">
        <v>51</v>
      </c>
      <c r="AE4" s="125">
        <v>50</v>
      </c>
      <c r="AF4" s="126">
        <f t="shared" ref="AF4:AF9" si="5">IFERROR(SUMPRODUCT(--($F$1:$F$3000=$F4)*($K$1:$K$3000=$K4),AD$1:AD$3000,AE$1:AE$3000)/SUMIFS(AE$1:AE$3000,$F$1:$F$3000,$F4,$K$1:$K$3000,$K4),"")</f>
        <v>0</v>
      </c>
      <c r="AG4" s="127" t="s">
        <v>51</v>
      </c>
      <c r="AH4" s="128">
        <v>50</v>
      </c>
      <c r="AI4" s="129">
        <f t="shared" ref="AI4:AI9" si="6">IFERROR(SUMPRODUCT(--($F$1:$F$3000=$F4)*($K$1:$K$3000=$K4),AG$1:AG$3000,AH$1:AH$3000)/SUMIFS(AH$1:AH$3000,$F$1:$F$3000,$F4,$K$1:$K$3000,$K4),"")</f>
        <v>0</v>
      </c>
      <c r="AJ4" s="130" t="s">
        <v>51</v>
      </c>
      <c r="AK4" s="131">
        <v>50</v>
      </c>
      <c r="AL4" s="132">
        <f t="shared" ref="AL4:AL9" si="7">IFERROR(SUMPRODUCT(--($F$1:$F$3000=$F4)*($K$1:$K$3000=$K4),AJ$1:AJ$3000,AK$1:AK$3000)/SUMIFS(AK$1:AK$3000,$F$1:$F$3000,$F4,$K$1:$K$3000,$K4),"")</f>
        <v>0</v>
      </c>
      <c r="AM4" s="133" t="s">
        <v>51</v>
      </c>
      <c r="AN4" s="134">
        <v>50</v>
      </c>
      <c r="AO4" s="135">
        <f t="shared" ref="AO4:AO9" si="8">IFERROR(SUMPRODUCT(--($F$1:$F$3000=$F4)*($K$1:$K$3000=$K4),AM$1:AM$3000,AN$1:AN$3000)/SUMIFS(AN$1:AN$3000,$F$1:$F$3000,$F4,$K$1:$K$3000,$K4),"")</f>
        <v>0</v>
      </c>
      <c r="AP4" s="136" t="s">
        <v>51</v>
      </c>
      <c r="AQ4" s="137">
        <v>50</v>
      </c>
      <c r="AR4" s="138">
        <f t="shared" ref="AR4:AR9" si="9">IFERROR(SUMPRODUCT(--($F$1:$F$3000=$F4)*($K$1:$K$3000=$K4),AP$1:AP$3000,AQ$1:AQ$3000)/SUMIFS(AQ$1:AQ$3000,$F$1:$F$3000,$F4,$K$1:$K$3000,$K4),"")</f>
        <v>0</v>
      </c>
      <c r="AS4" s="139" t="s">
        <v>51</v>
      </c>
      <c r="AT4" s="140">
        <v>50</v>
      </c>
      <c r="AU4" s="141">
        <f t="shared" ref="AU4:AU9" si="10">IFERROR(SUMPRODUCT(--($F$1:$F$3000=$F4)*($K$1:$K$3000=$K4),AS$1:AS$3000,AT$1:AT$3000)/SUMIFS(AT$1:AT$3000,$F$1:$F$3000,$F4,$K$1:$K$3000,$K4),"")</f>
        <v>0</v>
      </c>
      <c r="AV4" s="142" t="s">
        <v>51</v>
      </c>
      <c r="AW4" s="143">
        <v>50</v>
      </c>
      <c r="AX4" s="144">
        <f t="shared" ref="AX4:AX9" si="11">IFERROR(SUMPRODUCT(--($F$1:$F$3000=$F4)*($K$1:$K$3000=$K4),AV$1:AV$3000,AW$1:AW$3000)/SUMIFS(AW$1:AW$3000,$F$1:$F$3000,$F4,$K$1:$K$3000,$K4),"")</f>
        <v>0</v>
      </c>
    </row>
    <row r="5" spans="1:50" x14ac:dyDescent="0.3">
      <c r="A5" s="145" t="s">
        <v>87</v>
      </c>
      <c r="B5" s="146" t="s">
        <v>81</v>
      </c>
      <c r="C5" s="147" t="s">
        <v>82</v>
      </c>
      <c r="D5" s="148" t="s">
        <v>94</v>
      </c>
      <c r="E5" s="149" t="s">
        <v>88</v>
      </c>
      <c r="F5" s="150" t="s">
        <v>84</v>
      </c>
      <c r="G5" s="151" t="s">
        <v>85</v>
      </c>
      <c r="H5" s="152" t="s">
        <v>51</v>
      </c>
      <c r="I5" s="364" t="s">
        <v>91</v>
      </c>
      <c r="J5" s="364" t="s">
        <v>86</v>
      </c>
      <c r="K5" s="364" t="s">
        <v>86</v>
      </c>
      <c r="L5" s="364" t="s">
        <v>51</v>
      </c>
      <c r="M5" s="364" t="s">
        <v>78</v>
      </c>
      <c r="N5" s="364" t="s">
        <v>92</v>
      </c>
      <c r="O5" s="153" t="s">
        <v>51</v>
      </c>
      <c r="P5" s="154">
        <v>50</v>
      </c>
      <c r="Q5" s="155">
        <f t="shared" si="0"/>
        <v>16.5</v>
      </c>
      <c r="R5" s="156" t="s">
        <v>51</v>
      </c>
      <c r="S5" s="157">
        <v>50</v>
      </c>
      <c r="T5" s="158">
        <f t="shared" si="1"/>
        <v>16.5</v>
      </c>
      <c r="U5" s="159" t="s">
        <v>51</v>
      </c>
      <c r="V5" s="160">
        <v>50</v>
      </c>
      <c r="W5" s="161">
        <f t="shared" si="2"/>
        <v>16.5</v>
      </c>
      <c r="X5" s="162" t="s">
        <v>51</v>
      </c>
      <c r="Y5" s="163">
        <v>50</v>
      </c>
      <c r="Z5" s="164">
        <f t="shared" si="3"/>
        <v>16.5</v>
      </c>
      <c r="AA5" s="165" t="s">
        <v>51</v>
      </c>
      <c r="AB5" s="166">
        <v>50</v>
      </c>
      <c r="AC5" s="167">
        <f t="shared" si="4"/>
        <v>0</v>
      </c>
      <c r="AD5" s="168" t="s">
        <v>51</v>
      </c>
      <c r="AE5" s="169">
        <v>50</v>
      </c>
      <c r="AF5" s="170">
        <f t="shared" si="5"/>
        <v>0</v>
      </c>
      <c r="AG5" s="171" t="s">
        <v>51</v>
      </c>
      <c r="AH5" s="172">
        <v>50</v>
      </c>
      <c r="AI5" s="173">
        <f t="shared" si="6"/>
        <v>0</v>
      </c>
      <c r="AJ5" s="174" t="s">
        <v>51</v>
      </c>
      <c r="AK5" s="175">
        <v>50</v>
      </c>
      <c r="AL5" s="176">
        <f t="shared" si="7"/>
        <v>0</v>
      </c>
      <c r="AM5" s="177" t="s">
        <v>51</v>
      </c>
      <c r="AN5" s="178">
        <v>50</v>
      </c>
      <c r="AO5" s="179">
        <f t="shared" si="8"/>
        <v>0</v>
      </c>
      <c r="AP5" s="180" t="s">
        <v>51</v>
      </c>
      <c r="AQ5" s="181">
        <v>50</v>
      </c>
      <c r="AR5" s="182">
        <f t="shared" si="9"/>
        <v>0</v>
      </c>
      <c r="AS5" s="183" t="s">
        <v>51</v>
      </c>
      <c r="AT5" s="184">
        <v>50</v>
      </c>
      <c r="AU5" s="185">
        <f t="shared" si="10"/>
        <v>0</v>
      </c>
      <c r="AV5" s="186" t="s">
        <v>51</v>
      </c>
      <c r="AW5" s="187">
        <v>50</v>
      </c>
      <c r="AX5" s="188">
        <f t="shared" si="11"/>
        <v>0</v>
      </c>
    </row>
    <row r="6" spans="1:50" x14ac:dyDescent="0.3">
      <c r="A6" s="189" t="s">
        <v>80</v>
      </c>
      <c r="B6" s="190" t="s">
        <v>81</v>
      </c>
      <c r="C6" s="191" t="s">
        <v>82</v>
      </c>
      <c r="D6" s="192" t="s">
        <v>51</v>
      </c>
      <c r="E6" s="193" t="s">
        <v>83</v>
      </c>
      <c r="F6" s="194" t="s">
        <v>84</v>
      </c>
      <c r="G6" s="195" t="s">
        <v>85</v>
      </c>
      <c r="H6" s="196" t="s">
        <v>51</v>
      </c>
      <c r="I6" s="364" t="s">
        <v>91</v>
      </c>
      <c r="J6" s="276" t="s">
        <v>89</v>
      </c>
      <c r="K6" s="276" t="s">
        <v>89</v>
      </c>
      <c r="L6" s="276" t="s">
        <v>51</v>
      </c>
      <c r="M6" s="364" t="s">
        <v>78</v>
      </c>
      <c r="N6" s="364" t="s">
        <v>92</v>
      </c>
      <c r="O6" s="197">
        <v>33</v>
      </c>
      <c r="P6" s="198">
        <v>50</v>
      </c>
      <c r="Q6" s="199">
        <f t="shared" si="0"/>
        <v>16.5</v>
      </c>
      <c r="R6" s="200">
        <v>33</v>
      </c>
      <c r="S6" s="201">
        <v>50</v>
      </c>
      <c r="T6" s="202">
        <f t="shared" si="1"/>
        <v>16.5</v>
      </c>
      <c r="U6" s="203">
        <v>33</v>
      </c>
      <c r="V6" s="204">
        <v>50</v>
      </c>
      <c r="W6" s="205">
        <f t="shared" si="2"/>
        <v>16.5</v>
      </c>
      <c r="X6" s="206">
        <v>33</v>
      </c>
      <c r="Y6" s="207">
        <v>50</v>
      </c>
      <c r="Z6" s="208">
        <f t="shared" si="3"/>
        <v>16.5</v>
      </c>
      <c r="AA6" s="209" t="s">
        <v>51</v>
      </c>
      <c r="AB6" s="210">
        <v>50</v>
      </c>
      <c r="AC6" s="211">
        <f t="shared" si="4"/>
        <v>0</v>
      </c>
      <c r="AD6" s="212" t="s">
        <v>51</v>
      </c>
      <c r="AE6" s="213">
        <v>50</v>
      </c>
      <c r="AF6" s="214">
        <f t="shared" si="5"/>
        <v>0</v>
      </c>
      <c r="AG6" s="215" t="s">
        <v>51</v>
      </c>
      <c r="AH6" s="216">
        <v>50</v>
      </c>
      <c r="AI6" s="217">
        <f t="shared" si="6"/>
        <v>0</v>
      </c>
      <c r="AJ6" s="218" t="s">
        <v>51</v>
      </c>
      <c r="AK6" s="219">
        <v>50</v>
      </c>
      <c r="AL6" s="220">
        <f t="shared" si="7"/>
        <v>0</v>
      </c>
      <c r="AM6" s="221" t="s">
        <v>51</v>
      </c>
      <c r="AN6" s="222">
        <v>50</v>
      </c>
      <c r="AO6" s="223">
        <f t="shared" si="8"/>
        <v>0</v>
      </c>
      <c r="AP6" s="224" t="s">
        <v>51</v>
      </c>
      <c r="AQ6" s="225">
        <v>50</v>
      </c>
      <c r="AR6" s="226">
        <f t="shared" si="9"/>
        <v>0</v>
      </c>
      <c r="AS6" s="227" t="s">
        <v>51</v>
      </c>
      <c r="AT6" s="228">
        <v>50</v>
      </c>
      <c r="AU6" s="229">
        <f t="shared" si="10"/>
        <v>0</v>
      </c>
      <c r="AV6" s="230" t="s">
        <v>51</v>
      </c>
      <c r="AW6" s="231">
        <v>50</v>
      </c>
      <c r="AX6" s="232">
        <f t="shared" si="11"/>
        <v>0</v>
      </c>
    </row>
    <row r="7" spans="1:50" x14ac:dyDescent="0.3">
      <c r="A7" s="233" t="s">
        <v>87</v>
      </c>
      <c r="B7" s="234" t="s">
        <v>81</v>
      </c>
      <c r="C7" s="235" t="s">
        <v>82</v>
      </c>
      <c r="D7" s="236" t="s">
        <v>51</v>
      </c>
      <c r="E7" s="237" t="s">
        <v>88</v>
      </c>
      <c r="F7" s="238" t="s">
        <v>84</v>
      </c>
      <c r="G7" s="239" t="s">
        <v>85</v>
      </c>
      <c r="H7" s="240" t="s">
        <v>51</v>
      </c>
      <c r="I7" s="364" t="s">
        <v>91</v>
      </c>
      <c r="J7" s="276" t="s">
        <v>89</v>
      </c>
      <c r="K7" s="276" t="s">
        <v>89</v>
      </c>
      <c r="L7" s="276" t="s">
        <v>51</v>
      </c>
      <c r="M7" s="364" t="s">
        <v>78</v>
      </c>
      <c r="N7" s="364" t="s">
        <v>92</v>
      </c>
      <c r="O7" s="241" t="s">
        <v>51</v>
      </c>
      <c r="P7" s="242">
        <v>50</v>
      </c>
      <c r="Q7" s="243">
        <f t="shared" si="0"/>
        <v>16.5</v>
      </c>
      <c r="R7" s="244" t="s">
        <v>51</v>
      </c>
      <c r="S7" s="245">
        <v>50</v>
      </c>
      <c r="T7" s="246">
        <f t="shared" si="1"/>
        <v>16.5</v>
      </c>
      <c r="U7" s="247" t="s">
        <v>51</v>
      </c>
      <c r="V7" s="248">
        <v>50</v>
      </c>
      <c r="W7" s="249">
        <f t="shared" si="2"/>
        <v>16.5</v>
      </c>
      <c r="X7" s="250" t="s">
        <v>51</v>
      </c>
      <c r="Y7" s="251">
        <v>50</v>
      </c>
      <c r="Z7" s="252">
        <f t="shared" si="3"/>
        <v>16.5</v>
      </c>
      <c r="AA7" s="253" t="s">
        <v>51</v>
      </c>
      <c r="AB7" s="254">
        <v>50</v>
      </c>
      <c r="AC7" s="255">
        <f t="shared" si="4"/>
        <v>0</v>
      </c>
      <c r="AD7" s="256" t="s">
        <v>51</v>
      </c>
      <c r="AE7" s="257">
        <v>50</v>
      </c>
      <c r="AF7" s="258">
        <f t="shared" si="5"/>
        <v>0</v>
      </c>
      <c r="AG7" s="259" t="s">
        <v>51</v>
      </c>
      <c r="AH7" s="260">
        <v>50</v>
      </c>
      <c r="AI7" s="261">
        <f t="shared" si="6"/>
        <v>0</v>
      </c>
      <c r="AJ7" s="262" t="s">
        <v>51</v>
      </c>
      <c r="AK7" s="263">
        <v>50</v>
      </c>
      <c r="AL7" s="264">
        <f t="shared" si="7"/>
        <v>0</v>
      </c>
      <c r="AM7" s="265" t="s">
        <v>51</v>
      </c>
      <c r="AN7" s="266">
        <v>50</v>
      </c>
      <c r="AO7" s="267">
        <f t="shared" si="8"/>
        <v>0</v>
      </c>
      <c r="AP7" s="268" t="s">
        <v>51</v>
      </c>
      <c r="AQ7" s="269">
        <v>50</v>
      </c>
      <c r="AR7" s="270">
        <f t="shared" si="9"/>
        <v>0</v>
      </c>
      <c r="AS7" s="271" t="s">
        <v>51</v>
      </c>
      <c r="AT7" s="272">
        <v>50</v>
      </c>
      <c r="AU7" s="273">
        <f t="shared" si="10"/>
        <v>0</v>
      </c>
      <c r="AV7" s="274" t="s">
        <v>51</v>
      </c>
      <c r="AW7" s="275">
        <v>50</v>
      </c>
      <c r="AX7" s="276">
        <f t="shared" si="11"/>
        <v>0</v>
      </c>
    </row>
    <row r="8" spans="1:50" x14ac:dyDescent="0.3">
      <c r="A8" s="277" t="s">
        <v>80</v>
      </c>
      <c r="B8" s="278" t="s">
        <v>81</v>
      </c>
      <c r="C8" s="279" t="s">
        <v>82</v>
      </c>
      <c r="D8" s="280" t="s">
        <v>51</v>
      </c>
      <c r="E8" s="281" t="s">
        <v>83</v>
      </c>
      <c r="F8" s="282" t="s">
        <v>84</v>
      </c>
      <c r="G8" s="283" t="s">
        <v>85</v>
      </c>
      <c r="H8" s="284" t="s">
        <v>51</v>
      </c>
      <c r="I8" s="364" t="s">
        <v>91</v>
      </c>
      <c r="J8" s="364" t="s">
        <v>90</v>
      </c>
      <c r="K8" s="364" t="s">
        <v>90</v>
      </c>
      <c r="L8" s="364" t="s">
        <v>51</v>
      </c>
      <c r="M8" s="364" t="s">
        <v>78</v>
      </c>
      <c r="N8" s="364" t="s">
        <v>92</v>
      </c>
      <c r="O8" s="285">
        <v>33</v>
      </c>
      <c r="P8" s="286">
        <v>50</v>
      </c>
      <c r="Q8" s="287">
        <f t="shared" si="0"/>
        <v>16.5</v>
      </c>
      <c r="R8" s="288">
        <v>33</v>
      </c>
      <c r="S8" s="289">
        <v>50</v>
      </c>
      <c r="T8" s="290">
        <f t="shared" si="1"/>
        <v>16.5</v>
      </c>
      <c r="U8" s="291">
        <v>33</v>
      </c>
      <c r="V8" s="292">
        <v>50</v>
      </c>
      <c r="W8" s="293">
        <f t="shared" si="2"/>
        <v>16.5</v>
      </c>
      <c r="X8" s="294">
        <v>33</v>
      </c>
      <c r="Y8" s="295">
        <v>50</v>
      </c>
      <c r="Z8" s="296">
        <f t="shared" si="3"/>
        <v>16.5</v>
      </c>
      <c r="AA8" s="297" t="s">
        <v>51</v>
      </c>
      <c r="AB8" s="298">
        <v>50</v>
      </c>
      <c r="AC8" s="299">
        <f t="shared" si="4"/>
        <v>0</v>
      </c>
      <c r="AD8" s="300" t="s">
        <v>51</v>
      </c>
      <c r="AE8" s="301">
        <v>50</v>
      </c>
      <c r="AF8" s="302">
        <f t="shared" si="5"/>
        <v>0</v>
      </c>
      <c r="AG8" s="303" t="s">
        <v>51</v>
      </c>
      <c r="AH8" s="304">
        <v>50</v>
      </c>
      <c r="AI8" s="305">
        <f t="shared" si="6"/>
        <v>0</v>
      </c>
      <c r="AJ8" s="306" t="s">
        <v>51</v>
      </c>
      <c r="AK8" s="307">
        <v>50</v>
      </c>
      <c r="AL8" s="308">
        <f t="shared" si="7"/>
        <v>0</v>
      </c>
      <c r="AM8" s="309" t="s">
        <v>51</v>
      </c>
      <c r="AN8" s="310">
        <v>50</v>
      </c>
      <c r="AO8" s="311">
        <f t="shared" si="8"/>
        <v>0</v>
      </c>
      <c r="AP8" s="312" t="s">
        <v>51</v>
      </c>
      <c r="AQ8" s="313">
        <v>50</v>
      </c>
      <c r="AR8" s="314">
        <f t="shared" si="9"/>
        <v>0</v>
      </c>
      <c r="AS8" s="315" t="s">
        <v>51</v>
      </c>
      <c r="AT8" s="316">
        <v>50</v>
      </c>
      <c r="AU8" s="317">
        <f t="shared" si="10"/>
        <v>0</v>
      </c>
      <c r="AV8" s="318" t="s">
        <v>51</v>
      </c>
      <c r="AW8" s="319">
        <v>50</v>
      </c>
      <c r="AX8" s="320">
        <f t="shared" si="11"/>
        <v>0</v>
      </c>
    </row>
    <row r="9" spans="1:50" x14ac:dyDescent="0.3">
      <c r="A9" s="321" t="s">
        <v>87</v>
      </c>
      <c r="B9" s="322" t="s">
        <v>81</v>
      </c>
      <c r="C9" s="323" t="s">
        <v>82</v>
      </c>
      <c r="D9" s="324" t="s">
        <v>51</v>
      </c>
      <c r="E9" s="325" t="s">
        <v>88</v>
      </c>
      <c r="F9" s="326" t="s">
        <v>84</v>
      </c>
      <c r="G9" s="327" t="s">
        <v>85</v>
      </c>
      <c r="H9" s="328" t="s">
        <v>51</v>
      </c>
      <c r="I9" s="364" t="s">
        <v>91</v>
      </c>
      <c r="J9" s="364" t="s">
        <v>90</v>
      </c>
      <c r="K9" s="364" t="s">
        <v>90</v>
      </c>
      <c r="L9" s="364" t="s">
        <v>51</v>
      </c>
      <c r="M9" s="364" t="s">
        <v>78</v>
      </c>
      <c r="N9" s="364" t="s">
        <v>92</v>
      </c>
      <c r="O9" s="329" t="s">
        <v>51</v>
      </c>
      <c r="P9" s="330">
        <v>50</v>
      </c>
      <c r="Q9" s="331">
        <f t="shared" si="0"/>
        <v>16.5</v>
      </c>
      <c r="R9" s="332" t="s">
        <v>51</v>
      </c>
      <c r="S9" s="333">
        <v>50</v>
      </c>
      <c r="T9" s="334">
        <f t="shared" si="1"/>
        <v>16.5</v>
      </c>
      <c r="U9" s="335" t="s">
        <v>51</v>
      </c>
      <c r="V9" s="336">
        <v>50</v>
      </c>
      <c r="W9" s="337">
        <f t="shared" si="2"/>
        <v>16.5</v>
      </c>
      <c r="X9" s="338" t="s">
        <v>51</v>
      </c>
      <c r="Y9" s="339">
        <v>50</v>
      </c>
      <c r="Z9" s="340">
        <f t="shared" si="3"/>
        <v>16.5</v>
      </c>
      <c r="AA9" s="341" t="s">
        <v>51</v>
      </c>
      <c r="AB9" s="342">
        <v>50</v>
      </c>
      <c r="AC9" s="343">
        <f t="shared" si="4"/>
        <v>0</v>
      </c>
      <c r="AD9" s="344" t="s">
        <v>51</v>
      </c>
      <c r="AE9" s="345">
        <v>50</v>
      </c>
      <c r="AF9" s="346">
        <f t="shared" si="5"/>
        <v>0</v>
      </c>
      <c r="AG9" s="347" t="s">
        <v>51</v>
      </c>
      <c r="AH9" s="348">
        <v>50</v>
      </c>
      <c r="AI9" s="349">
        <f t="shared" si="6"/>
        <v>0</v>
      </c>
      <c r="AJ9" s="350" t="s">
        <v>51</v>
      </c>
      <c r="AK9" s="351">
        <v>50</v>
      </c>
      <c r="AL9" s="352">
        <f t="shared" si="7"/>
        <v>0</v>
      </c>
      <c r="AM9" s="353" t="s">
        <v>51</v>
      </c>
      <c r="AN9" s="354">
        <v>50</v>
      </c>
      <c r="AO9" s="355">
        <f t="shared" si="8"/>
        <v>0</v>
      </c>
      <c r="AP9" s="356" t="s">
        <v>51</v>
      </c>
      <c r="AQ9" s="357">
        <v>50</v>
      </c>
      <c r="AR9" s="358">
        <f t="shared" si="9"/>
        <v>0</v>
      </c>
      <c r="AS9" s="359" t="s">
        <v>51</v>
      </c>
      <c r="AT9" s="360">
        <v>50</v>
      </c>
      <c r="AU9" s="361">
        <f t="shared" si="10"/>
        <v>0</v>
      </c>
      <c r="AV9" s="362" t="s">
        <v>51</v>
      </c>
      <c r="AW9" s="363">
        <v>50</v>
      </c>
      <c r="AX9" s="364">
        <f t="shared" si="11"/>
        <v>0</v>
      </c>
    </row>
  </sheetData>
  <mergeCells count="12">
    <mergeCell ref="O2:Q2"/>
    <mergeCell ref="R2:T2"/>
    <mergeCell ref="U2:W2"/>
    <mergeCell ref="X2:Z2"/>
    <mergeCell ref="AA2:AC2"/>
    <mergeCell ref="AS2:AU2"/>
    <mergeCell ref="AV2:AX2"/>
    <mergeCell ref="AD2:AF2"/>
    <mergeCell ref="AG2:AI2"/>
    <mergeCell ref="AJ2:AL2"/>
    <mergeCell ref="AM2:AO2"/>
    <mergeCell ref="AP2:A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Kumaraswamy</cp:lastModifiedBy>
  <dcterms:created xsi:type="dcterms:W3CDTF">2021-07-29T07:05:25Z</dcterms:created>
  <dcterms:modified xsi:type="dcterms:W3CDTF">2021-07-29T07:08:53Z</dcterms:modified>
</cp:coreProperties>
</file>