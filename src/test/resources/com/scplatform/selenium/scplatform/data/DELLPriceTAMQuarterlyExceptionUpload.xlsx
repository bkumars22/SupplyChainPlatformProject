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wamy\Downloads\"/>
    </mc:Choice>
  </mc:AlternateContent>
  <xr:revisionPtr revIDLastSave="0" documentId="13_ncr:1_{D8A4C9F8-1807-498F-84D6-2A8E2AA52D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iceTA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5" i="1" l="1"/>
  <c r="W5" i="1"/>
  <c r="T5" i="1"/>
  <c r="Q5" i="1"/>
  <c r="Z4" i="1"/>
  <c r="W4" i="1"/>
  <c r="T4" i="1"/>
  <c r="Q4" i="1"/>
</calcChain>
</file>

<file path=xl/sharedStrings.xml><?xml version="1.0" encoding="utf-8"?>
<sst xmlns="http://schemas.openxmlformats.org/spreadsheetml/2006/main" count="92" uniqueCount="60">
  <si>
    <t>itemIdentifier</t>
  </si>
  <si>
    <t>businessEntity</t>
  </si>
  <si>
    <t>businessEntityType</t>
  </si>
  <si>
    <t>manufacturerPart</t>
  </si>
  <si>
    <t>fromBusinessEntity</t>
  </si>
  <si>
    <t>fgName</t>
  </si>
  <si>
    <t>fgType</t>
  </si>
  <si>
    <t>platform</t>
  </si>
  <si>
    <t>costType</t>
  </si>
  <si>
    <t>site</t>
  </si>
  <si>
    <t>siteTAM</t>
  </si>
  <si>
    <t>pastEffectiveOffset</t>
  </si>
  <si>
    <t>uploadType</t>
  </si>
  <si>
    <t>pastUpdate</t>
  </si>
  <si>
    <t>Q1P</t>
  </si>
  <si>
    <t>Q1T</t>
  </si>
  <si>
    <t>Q1W</t>
  </si>
  <si>
    <t>Q2P</t>
  </si>
  <si>
    <t>Q2T</t>
  </si>
  <si>
    <t>Q2W</t>
  </si>
  <si>
    <t>Q3P</t>
  </si>
  <si>
    <t>Q3T</t>
  </si>
  <si>
    <t>Q3W</t>
  </si>
  <si>
    <t>Q4P</t>
  </si>
  <si>
    <t>Q4T</t>
  </si>
  <si>
    <t>Q4W</t>
  </si>
  <si>
    <t>FY2022FQ02
(Q1)
01 May 2021</t>
  </si>
  <si>
    <t/>
  </si>
  <si>
    <t>FY2022FQ03
(Q2)
31 Jul 2021</t>
  </si>
  <si>
    <t>FY2022FQ04
(Q3)
30 Oct 2021</t>
  </si>
  <si>
    <t>FY2023FQ01
(Q4)
29 Jan 2022</t>
  </si>
  <si>
    <t>Item Number</t>
  </si>
  <si>
    <t>Item Business Entity</t>
  </si>
  <si>
    <t>Item Business Entity Type</t>
  </si>
  <si>
    <t>Manufacturer Part</t>
  </si>
  <si>
    <t>Supplier</t>
  </si>
  <si>
    <t>FG Name</t>
  </si>
  <si>
    <t>FG Type</t>
  </si>
  <si>
    <t>Platform</t>
  </si>
  <si>
    <t>Cost Type</t>
  </si>
  <si>
    <t>Destination Site Price</t>
  </si>
  <si>
    <t>Site TAM</t>
  </si>
  <si>
    <t>Price Effective Offset</t>
  </si>
  <si>
    <t>Update Type</t>
  </si>
  <si>
    <t>Price/TAM Backdate/Change Flag</t>
  </si>
  <si>
    <t>Price</t>
  </si>
  <si>
    <t>TAM</t>
  </si>
  <si>
    <t>WAP</t>
  </si>
  <si>
    <t>DELLPriceTAM210614181859</t>
  </si>
  <si>
    <t>DELL</t>
  </si>
  <si>
    <t>ENTERPRISE</t>
  </si>
  <si>
    <t>MPN1</t>
  </si>
  <si>
    <t>SERCOM desc</t>
  </si>
  <si>
    <t>DELLXLOBPriceTAM210614181844</t>
  </si>
  <si>
    <t>XLOB</t>
  </si>
  <si>
    <t>BUY</t>
  </si>
  <si>
    <t>WW</t>
  </si>
  <si>
    <t>MPN2</t>
  </si>
  <si>
    <t>ALL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</si>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</sst>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indexed="1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1" fillId="0" borderId="0" xfId="0" applyFont="1"/>
    <xf numFmtId="0" fontId="0" fillId="0" borderId="0" xfId="0"/>
    <xf numFmtId="0" fontId="0" fillId="2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"/>
  <sheetViews>
    <sheetView tabSelected="1" topLeftCell="D2" workbookViewId="0">
      <selection activeCell="N10" sqref="N10"/>
    </sheetView>
  </sheetViews>
  <sheetFormatPr defaultRowHeight="14.4" x14ac:dyDescent="0.3"/>
  <sheetData>
    <row r="1" spans="1:26" hidden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</row>
    <row r="2" spans="1:26" ht="49.95" customHeight="1" x14ac:dyDescent="0.3">
      <c r="O2" s="55" t="s">
        <v>26</v>
      </c>
      <c r="P2" s="55" t="s">
        <v>27</v>
      </c>
      <c r="Q2" s="55" t="s">
        <v>27</v>
      </c>
      <c r="R2" s="56" t="s">
        <v>28</v>
      </c>
      <c r="S2" s="56" t="s">
        <v>27</v>
      </c>
      <c r="T2" s="56" t="s">
        <v>27</v>
      </c>
      <c r="U2" s="56" t="s">
        <v>29</v>
      </c>
      <c r="V2" s="56" t="s">
        <v>27</v>
      </c>
      <c r="W2" s="56" t="s">
        <v>27</v>
      </c>
      <c r="X2" s="56" t="s">
        <v>30</v>
      </c>
      <c r="Y2" s="56" t="s">
        <v>27</v>
      </c>
      <c r="Z2" s="56" t="s">
        <v>27</v>
      </c>
    </row>
    <row r="3" spans="1:26" x14ac:dyDescent="0.3">
      <c r="A3" s="27" t="s">
        <v>31</v>
      </c>
      <c r="B3" s="28" t="s">
        <v>32</v>
      </c>
      <c r="C3" s="29" t="s">
        <v>33</v>
      </c>
      <c r="D3" s="30" t="s">
        <v>34</v>
      </c>
      <c r="E3" s="31" t="s">
        <v>35</v>
      </c>
      <c r="F3" s="32" t="s">
        <v>36</v>
      </c>
      <c r="G3" s="33" t="s">
        <v>37</v>
      </c>
      <c r="H3" s="34" t="s">
        <v>38</v>
      </c>
      <c r="I3" s="35" t="s">
        <v>39</v>
      </c>
      <c r="J3" s="36" t="s">
        <v>40</v>
      </c>
      <c r="K3" s="37" t="s">
        <v>41</v>
      </c>
      <c r="L3" s="38" t="s">
        <v>42</v>
      </c>
      <c r="M3" s="39" t="s">
        <v>43</v>
      </c>
      <c r="N3" s="40" t="s">
        <v>44</v>
      </c>
      <c r="O3" s="41" t="s">
        <v>45</v>
      </c>
      <c r="P3" s="42" t="s">
        <v>46</v>
      </c>
      <c r="Q3" s="43" t="s">
        <v>47</v>
      </c>
      <c r="R3" s="44" t="s">
        <v>45</v>
      </c>
      <c r="S3" s="45" t="s">
        <v>46</v>
      </c>
      <c r="T3" s="46" t="s">
        <v>47</v>
      </c>
      <c r="U3" s="47" t="s">
        <v>45</v>
      </c>
      <c r="V3" s="48" t="s">
        <v>46</v>
      </c>
      <c r="W3" s="49" t="s">
        <v>47</v>
      </c>
      <c r="X3" s="50" t="s">
        <v>45</v>
      </c>
      <c r="Y3" s="51" t="s">
        <v>46</v>
      </c>
      <c r="Z3" s="52" t="s">
        <v>47</v>
      </c>
    </row>
    <row r="4" spans="1:26" x14ac:dyDescent="0.3">
      <c r="A4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 t="s">
        <v>27</v>
      </c>
      <c r="I4" t="s">
        <v>55</v>
      </c>
      <c r="J4" t="s">
        <v>56</v>
      </c>
      <c r="K4" t="s">
        <v>56</v>
      </c>
      <c r="L4" t="s">
        <v>27</v>
      </c>
      <c r="M4" t="s">
        <v>58</v>
      </c>
      <c r="N4" t="s">
        <v>59</v>
      </c>
      <c r="O4" s="53">
        <v>34</v>
      </c>
      <c r="P4" s="54">
        <v>50</v>
      </c>
      <c r="Q4">
        <f>IFERROR(SUMPRODUCT(--($F$1:$F$3000=$F4)*($K$1:$K$3000=$K4),O$1:O$3000,P$1:P$3000)/SUMIFS(P$1:P$3000,$F$1:$F$3000,$F4,$K$1:$K$3000,$K4),"")</f>
        <v>39.5</v>
      </c>
      <c r="R4" s="54">
        <v>45.4</v>
      </c>
      <c r="S4" s="54">
        <v>100</v>
      </c>
      <c r="T4">
        <f>IFERROR(SUMPRODUCT(--($F$1:$F$3000=$F4)*($K$1:$K$3000=$K4),R$1:R$3000,S$1:S$3000)/SUMIFS(S$1:S$3000,$F$1:$F$3000,$F4,$K$1:$K$3000,$K4),"")</f>
        <v>45.4</v>
      </c>
      <c r="U4">
        <v>45</v>
      </c>
      <c r="V4" s="54">
        <v>100</v>
      </c>
      <c r="W4">
        <f>IFERROR(SUMPRODUCT(--($F$1:$F$3000=$F4)*($K$1:$K$3000=$K4),U$1:U$3000,V$1:V$3000)/SUMIFS(V$1:V$3000,$F$1:$F$3000,$F4,$K$1:$K$3000,$K4),"")</f>
        <v>45</v>
      </c>
      <c r="X4">
        <v>67</v>
      </c>
      <c r="Y4" s="54">
        <v>100</v>
      </c>
      <c r="Z4">
        <f>IFERROR(SUMPRODUCT(--($F$1:$F$3000=$F4)*($K$1:$K$3000=$K4),X$1:X$3000,Y$1:Y$3000)/SUMIFS(Y$1:Y$3000,$F$1:$F$3000,$F4,$K$1:$K$3000,$K4),"")</f>
        <v>67</v>
      </c>
    </row>
    <row r="5" spans="1:26" x14ac:dyDescent="0.3">
      <c r="A5" t="s">
        <v>48</v>
      </c>
      <c r="B5" t="s">
        <v>49</v>
      </c>
      <c r="C5" t="s">
        <v>50</v>
      </c>
      <c r="D5" t="s">
        <v>57</v>
      </c>
      <c r="E5" t="s">
        <v>52</v>
      </c>
      <c r="F5" t="s">
        <v>53</v>
      </c>
      <c r="G5" t="s">
        <v>54</v>
      </c>
      <c r="H5" t="s">
        <v>27</v>
      </c>
      <c r="I5" t="s">
        <v>55</v>
      </c>
      <c r="J5" t="s">
        <v>56</v>
      </c>
      <c r="K5" t="s">
        <v>56</v>
      </c>
      <c r="L5" t="s">
        <v>27</v>
      </c>
      <c r="M5" t="s">
        <v>58</v>
      </c>
      <c r="N5" t="s">
        <v>59</v>
      </c>
      <c r="O5" s="53">
        <v>45</v>
      </c>
      <c r="P5" s="54">
        <v>50</v>
      </c>
      <c r="Q5">
        <f>IFERROR(SUMPRODUCT(--($F$1:$F$3000=$F5)*($K$1:$K$3000=$K5),O$1:O$3000,P$1:P$3000)/SUMIFS(P$1:P$3000,$F$1:$F$3000,$F5,$K$1:$K$3000,$K5),"")</f>
        <v>39.5</v>
      </c>
      <c r="R5" s="54">
        <v>0</v>
      </c>
      <c r="S5">
        <v>0</v>
      </c>
      <c r="T5">
        <f>IFERROR(SUMPRODUCT(--($F$1:$F$3000=$F5)*($K$1:$K$3000=$K5),R$1:R$3000,S$1:S$3000)/SUMIFS(S$1:S$3000,$F$1:$F$3000,$F5,$K$1:$K$3000,$K5),"")</f>
        <v>45.4</v>
      </c>
      <c r="V5">
        <v>0</v>
      </c>
      <c r="W5">
        <f>IFERROR(SUMPRODUCT(--($F$1:$F$3000=$F5)*($K$1:$K$3000=$K5),U$1:U$3000,V$1:V$3000)/SUMIFS(V$1:V$3000,$F$1:$F$3000,$F5,$K$1:$K$3000,$K5),"")</f>
        <v>45</v>
      </c>
      <c r="Y5">
        <v>0</v>
      </c>
      <c r="Z5">
        <f>IFERROR(SUMPRODUCT(--($F$1:$F$3000=$F5)*($K$1:$K$3000=$K5),X$1:X$3000,Y$1:Y$3000)/SUMIFS(Y$1:Y$3000,$F$1:$F$3000,$F5,$K$1:$K$3000,$K5),"")</f>
        <v>67</v>
      </c>
    </row>
  </sheetData>
  <mergeCells count="4">
    <mergeCell ref="O2:Q2"/>
    <mergeCell ref="R2:T2"/>
    <mergeCell ref="U2:W2"/>
    <mergeCell ref="X2:Z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PriceTAM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Kumaraswamy</cp:lastModifiedBy>
  <dcterms:created xsi:type="dcterms:W3CDTF">2021-06-15T06:49:58Z</dcterms:created>
  <dcterms:modified xsi:type="dcterms:W3CDTF">2021-06-15T07:09:34Z</dcterms:modified>
</cp:coreProperties>
</file>