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swamy\Downloads\"/>
    </mc:Choice>
  </mc:AlternateContent>
  <xr:revisionPtr revIDLastSave="0" documentId="13_ncr:1_{9CA2F96F-B0BD-4659-AC32-EA1EC58E5624}" xr6:coauthVersionLast="46" xr6:coauthVersionMax="46" xr10:uidLastSave="{00000000-0000-0000-0000-000000000000}"/>
  <bookViews>
    <workbookView xWindow="-108" yWindow="-108" windowWidth="23256" windowHeight="12576" xr2:uid="{00000000-000D-0000-FFFF-FFFF00000000}"/>
  </bookViews>
  <sheets>
    <sheet name="PriceTA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4" i="1" l="1"/>
  <c r="W4" i="1"/>
  <c r="T4" i="1"/>
  <c r="Q4" i="1"/>
</calcChain>
</file>

<file path=xl/sharedStrings.xml><?xml version="1.0" encoding="utf-8"?>
<sst xmlns="http://schemas.openxmlformats.org/spreadsheetml/2006/main" count="78" uniqueCount="58">
  <si>
    <t>itemIdentifier</t>
  </si>
  <si>
    <t>businessEntity</t>
  </si>
  <si>
    <t>businessEntityType</t>
  </si>
  <si>
    <t>manufacturerPart</t>
  </si>
  <si>
    <t>fromBusinessEntity</t>
  </si>
  <si>
    <t>fgName</t>
  </si>
  <si>
    <t>fgType</t>
  </si>
  <si>
    <t>platform</t>
  </si>
  <si>
    <t>costType</t>
  </si>
  <si>
    <t>site</t>
  </si>
  <si>
    <t>siteTAM</t>
  </si>
  <si>
    <t>pastEffectiveOffset</t>
  </si>
  <si>
    <t>uploadType</t>
  </si>
  <si>
    <t>pastUpdate</t>
  </si>
  <si>
    <t>Q1P</t>
  </si>
  <si>
    <t>Q1T</t>
  </si>
  <si>
    <t>Q1W</t>
  </si>
  <si>
    <t>Q2P</t>
  </si>
  <si>
    <t>Q2T</t>
  </si>
  <si>
    <t>Q2W</t>
  </si>
  <si>
    <t>Q3P</t>
  </si>
  <si>
    <t>Q3T</t>
  </si>
  <si>
    <t>Q3W</t>
  </si>
  <si>
    <t>Q4P</t>
  </si>
  <si>
    <t>Q4T</t>
  </si>
  <si>
    <t>Q4W</t>
  </si>
  <si>
    <t>FY2022FQ02
(Q1)
01 May 2021</t>
  </si>
  <si>
    <t/>
  </si>
  <si>
    <t>FY2022FQ03
(Q2)
31 Jul 2021</t>
  </si>
  <si>
    <t>FY2022FQ04
(Q3)
30 Oct 2021</t>
  </si>
  <si>
    <t>FY2023FQ01
(Q4)
29 Jan 2022</t>
  </si>
  <si>
    <t>Item Number</t>
  </si>
  <si>
    <t>Item Business Entity</t>
  </si>
  <si>
    <t>Item Business Entity Type</t>
  </si>
  <si>
    <t>Manufacturer Part</t>
  </si>
  <si>
    <t>Supplier</t>
  </si>
  <si>
    <t>FG Name</t>
  </si>
  <si>
    <t>FG Type</t>
  </si>
  <si>
    <t>Platform</t>
  </si>
  <si>
    <t>Cost Type</t>
  </si>
  <si>
    <t>Destination Site Price</t>
  </si>
  <si>
    <t>Site TAM</t>
  </si>
  <si>
    <t>Price Effective Offset</t>
  </si>
  <si>
    <t>Update Type</t>
  </si>
  <si>
    <t>Price/TAM Backdate/Change Flag</t>
  </si>
  <si>
    <t>Price</t>
  </si>
  <si>
    <t>TAM</t>
  </si>
  <si>
    <t>WAP</t>
  </si>
  <si>
    <t>DELL</t>
  </si>
  <si>
    <t>ENTERPRISE</t>
  </si>
  <si>
    <t>XLOB</t>
  </si>
  <si>
    <t>SERCOM desc</t>
  </si>
  <si>
    <t>PriceTAM210107112058</t>
  </si>
  <si>
    <t>XLOBPriceTAM210107112024</t>
  </si>
  <si>
    <t>BUY</t>
  </si>
  <si>
    <t>WW</t>
  </si>
  <si>
    <t>ALL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</si>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</sst>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sz val="11"/>
      <color indexed="19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42"/>
      </patternFill>
    </fill>
    <fill>
      <patternFill patternType="solid">
        <fgColor indexed="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3" borderId="1" xfId="0" applyFill="1" applyBorder="1"/>
    <xf numFmtId="0" fontId="0" fillId="3" borderId="1" xfId="0" applyFill="1" applyBorder="1"/>
    <xf numFmtId="0" fontId="0" fillId="3" borderId="1" xfId="0" applyFill="1" applyBorder="1"/>
    <xf numFmtId="0" fontId="0" fillId="3" borderId="1" xfId="0" applyFill="1" applyBorder="1"/>
    <xf numFmtId="0" fontId="0" fillId="3" borderId="1" xfId="0" applyFill="1" applyBorder="1"/>
    <xf numFmtId="0" fontId="0" fillId="3" borderId="1" xfId="0" applyFill="1" applyBorder="1"/>
    <xf numFmtId="0" fontId="0" fillId="3" borderId="1" xfId="0" applyFill="1" applyBorder="1"/>
    <xf numFmtId="0" fontId="0" fillId="3" borderId="1" xfId="0" applyFill="1" applyBorder="1"/>
    <xf numFmtId="0" fontId="0" fillId="3" borderId="1" xfId="0" applyFill="1" applyBorder="1"/>
    <xf numFmtId="0" fontId="0" fillId="3" borderId="1" xfId="0" applyFill="1" applyBorder="1"/>
    <xf numFmtId="0" fontId="0" fillId="3" borderId="1" xfId="0" applyFill="1" applyBorder="1"/>
    <xf numFmtId="0" fontId="0" fillId="3" borderId="1" xfId="0" applyFill="1" applyBorder="1"/>
    <xf numFmtId="0" fontId="0" fillId="3" borderId="1" xfId="0" applyFill="1" applyBorder="1"/>
    <xf numFmtId="0" fontId="0" fillId="3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3" borderId="1" xfId="0" applyFill="1" applyBorder="1"/>
    <xf numFmtId="0" fontId="0" fillId="3" borderId="1" xfId="0" applyFill="1" applyBorder="1"/>
    <xf numFmtId="0" fontId="0" fillId="3" borderId="1" xfId="0" applyFill="1" applyBorder="1"/>
    <xf numFmtId="0" fontId="0" fillId="3" borderId="1" xfId="0" applyFill="1" applyBorder="1"/>
    <xf numFmtId="0" fontId="0" fillId="3" borderId="1" xfId="0" applyFill="1" applyBorder="1"/>
    <xf numFmtId="0" fontId="0" fillId="3" borderId="1" xfId="0" applyFill="1" applyBorder="1"/>
    <xf numFmtId="0" fontId="0" fillId="3" borderId="1" xfId="0" applyFill="1" applyBorder="1"/>
    <xf numFmtId="0" fontId="0" fillId="3" borderId="1" xfId="0" applyFill="1" applyBorder="1"/>
    <xf numFmtId="0" fontId="0" fillId="3" borderId="1" xfId="0" applyFill="1" applyBorder="1"/>
    <xf numFmtId="0" fontId="1" fillId="0" borderId="0" xfId="0" applyFont="1"/>
    <xf numFmtId="0" fontId="0" fillId="2" borderId="1" xfId="0" applyFill="1" applyBorder="1" applyAlignment="1">
      <alignment horizontal="center" wrapText="1"/>
    </xf>
    <xf numFmtId="0" fontId="0" fillId="3" borderId="1" xfId="0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"/>
  <sheetViews>
    <sheetView tabSelected="1" topLeftCell="A2" workbookViewId="0">
      <selection activeCell="F23" sqref="F23"/>
    </sheetView>
  </sheetViews>
  <sheetFormatPr defaultRowHeight="14.4" x14ac:dyDescent="0.3"/>
  <sheetData>
    <row r="1" spans="1:26" hidden="1" x14ac:dyDescent="0.3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13" t="s">
        <v>12</v>
      </c>
      <c r="N1" s="14" t="s">
        <v>13</v>
      </c>
      <c r="O1" s="15" t="s">
        <v>14</v>
      </c>
      <c r="P1" s="16" t="s">
        <v>15</v>
      </c>
      <c r="Q1" s="17" t="s">
        <v>16</v>
      </c>
      <c r="R1" s="18" t="s">
        <v>17</v>
      </c>
      <c r="S1" s="19" t="s">
        <v>18</v>
      </c>
      <c r="T1" s="20" t="s">
        <v>19</v>
      </c>
      <c r="U1" s="21" t="s">
        <v>20</v>
      </c>
      <c r="V1" s="22" t="s">
        <v>21</v>
      </c>
      <c r="W1" s="23" t="s">
        <v>22</v>
      </c>
      <c r="X1" s="24" t="s">
        <v>23</v>
      </c>
      <c r="Y1" s="25" t="s">
        <v>24</v>
      </c>
      <c r="Z1" s="26" t="s">
        <v>25</v>
      </c>
    </row>
    <row r="2" spans="1:26" ht="49.95" customHeight="1" x14ac:dyDescent="0.3">
      <c r="O2" s="54" t="s">
        <v>26</v>
      </c>
      <c r="P2" s="54" t="s">
        <v>27</v>
      </c>
      <c r="Q2" s="54" t="s">
        <v>27</v>
      </c>
      <c r="R2" s="55" t="s">
        <v>28</v>
      </c>
      <c r="S2" s="55" t="s">
        <v>27</v>
      </c>
      <c r="T2" s="55" t="s">
        <v>27</v>
      </c>
      <c r="U2" s="55" t="s">
        <v>29</v>
      </c>
      <c r="V2" s="55" t="s">
        <v>27</v>
      </c>
      <c r="W2" s="55" t="s">
        <v>27</v>
      </c>
      <c r="X2" s="55" t="s">
        <v>30</v>
      </c>
      <c r="Y2" s="55" t="s">
        <v>27</v>
      </c>
      <c r="Z2" s="55" t="s">
        <v>27</v>
      </c>
    </row>
    <row r="3" spans="1:26" x14ac:dyDescent="0.3">
      <c r="A3" s="27" t="s">
        <v>31</v>
      </c>
      <c r="B3" s="28" t="s">
        <v>32</v>
      </c>
      <c r="C3" s="29" t="s">
        <v>33</v>
      </c>
      <c r="D3" s="30" t="s">
        <v>34</v>
      </c>
      <c r="E3" s="31" t="s">
        <v>35</v>
      </c>
      <c r="F3" s="32" t="s">
        <v>36</v>
      </c>
      <c r="G3" s="33" t="s">
        <v>37</v>
      </c>
      <c r="H3" s="34" t="s">
        <v>38</v>
      </c>
      <c r="I3" s="35" t="s">
        <v>39</v>
      </c>
      <c r="J3" s="36" t="s">
        <v>40</v>
      </c>
      <c r="K3" s="37" t="s">
        <v>41</v>
      </c>
      <c r="L3" s="38" t="s">
        <v>42</v>
      </c>
      <c r="M3" s="39" t="s">
        <v>43</v>
      </c>
      <c r="N3" s="40" t="s">
        <v>44</v>
      </c>
      <c r="O3" s="41" t="s">
        <v>45</v>
      </c>
      <c r="P3" s="42" t="s">
        <v>46</v>
      </c>
      <c r="Q3" s="43" t="s">
        <v>47</v>
      </c>
      <c r="R3" s="44" t="s">
        <v>45</v>
      </c>
      <c r="S3" s="45" t="s">
        <v>46</v>
      </c>
      <c r="T3" s="46" t="s">
        <v>47</v>
      </c>
      <c r="U3" s="47" t="s">
        <v>45</v>
      </c>
      <c r="V3" s="48" t="s">
        <v>46</v>
      </c>
      <c r="W3" s="49" t="s">
        <v>47</v>
      </c>
      <c r="X3" s="50" t="s">
        <v>45</v>
      </c>
      <c r="Y3" s="51" t="s">
        <v>46</v>
      </c>
      <c r="Z3" s="52" t="s">
        <v>47</v>
      </c>
    </row>
    <row r="4" spans="1:26" x14ac:dyDescent="0.3">
      <c r="A4" t="s">
        <v>52</v>
      </c>
      <c r="B4" t="s">
        <v>48</v>
      </c>
      <c r="C4" t="s">
        <v>49</v>
      </c>
      <c r="D4" t="s">
        <v>27</v>
      </c>
      <c r="E4" t="s">
        <v>51</v>
      </c>
      <c r="F4" t="s">
        <v>53</v>
      </c>
      <c r="G4" t="s">
        <v>50</v>
      </c>
      <c r="H4" t="s">
        <v>27</v>
      </c>
      <c r="I4" t="s">
        <v>54</v>
      </c>
      <c r="J4" t="s">
        <v>55</v>
      </c>
      <c r="K4" t="s">
        <v>55</v>
      </c>
      <c r="L4" t="s">
        <v>27</v>
      </c>
      <c r="M4" t="s">
        <v>56</v>
      </c>
      <c r="N4" t="s">
        <v>57</v>
      </c>
      <c r="O4" s="53">
        <v>60</v>
      </c>
      <c r="P4">
        <v>100</v>
      </c>
      <c r="Q4">
        <f>IFERROR(SUMPRODUCT(--($F$1:$F$2997=$F4)*($K$1:$K$2997=$K4),O$1:O$2997,P$1:P$2997)/SUMIFS(P$1:P$2997,$F$1:$F$2997,$F4,$K$1:$K$2997,$K4),"")</f>
        <v>60</v>
      </c>
      <c r="R4" s="53">
        <v>60</v>
      </c>
      <c r="S4">
        <v>100</v>
      </c>
      <c r="T4">
        <f>IFERROR(SUMPRODUCT(--($F$1:$F$2997=$F4)*($K$1:$K$2997=$K4),R$1:R$2997,S$1:S$2997)/SUMIFS(S$1:S$2997,$F$1:$F$2997,$F4,$K$1:$K$2997,$K4),"")</f>
        <v>60</v>
      </c>
      <c r="U4" s="53">
        <v>60</v>
      </c>
      <c r="V4">
        <v>100</v>
      </c>
      <c r="W4">
        <f>IFERROR(SUMPRODUCT(--($F$1:$F$2997=$F4)*($K$1:$K$2997=$K4),U$1:U$2997,V$1:V$2997)/SUMIFS(V$1:V$2997,$F$1:$F$2997,$F4,$K$1:$K$2997,$K4),"")</f>
        <v>60</v>
      </c>
      <c r="X4">
        <v>56</v>
      </c>
      <c r="Y4">
        <v>100</v>
      </c>
      <c r="Z4">
        <f>IFERROR(SUMPRODUCT(--($F$1:$F$2997=$F4)*($K$1:$K$2997=$K4),X$1:X$2997,Y$1:Y$2997)/SUMIFS(Y$1:Y$2997,$F$1:$F$2997,$F4,$K$1:$K$2997,$K4),"")</f>
        <v>56</v>
      </c>
    </row>
  </sheetData>
  <mergeCells count="4">
    <mergeCell ref="O2:Q2"/>
    <mergeCell ref="R2:T2"/>
    <mergeCell ref="U2:W2"/>
    <mergeCell ref="X2:Z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PriceTAM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Kumaraswamy</cp:lastModifiedBy>
  <dcterms:created xsi:type="dcterms:W3CDTF">2021-05-11T03:40:17Z</dcterms:created>
  <dcterms:modified xsi:type="dcterms:W3CDTF">2021-05-11T03:41:43Z</dcterms:modified>
</cp:coreProperties>
</file>