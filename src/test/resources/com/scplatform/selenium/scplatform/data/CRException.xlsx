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04D21104-37A8-4043-B585-5998133F92A3}" xr6:coauthVersionLast="47" xr6:coauthVersionMax="47" xr10:uidLastSave="{00000000-0000-0000-0000-000000000000}"/>
  <bookViews>
    <workbookView xWindow="-110" yWindow="-110" windowWidth="19420" windowHeight="10300" xr2:uid="{7C3D6D87-B10B-4FFA-97D8-71A67C781F1F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P3" i="1"/>
</calcChain>
</file>

<file path=xl/sharedStrings.xml><?xml version="1.0" encoding="utf-8"?>
<sst xmlns="http://schemas.openxmlformats.org/spreadsheetml/2006/main" count="177" uniqueCount="140">
  <si>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</si>
  <si>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</si>
  <si>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</si>
  <si>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</si>
  <si>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</si>
  <si>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</si>
  <si>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</si>
  <si>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</si>
  <si>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</si>
  <si>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</si>
  <si>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</si>
  <si>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</si>
  <si>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</si>
  <si>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</si>
  <si>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</si>
  <si>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</si>
  <si>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</si>
  <si>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</si>
  <si>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</si>
  <si>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</si>
  <si>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</si>
  <si>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</si>
  <si>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</si>
  <si>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</si>
  <si>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</si>
  <si>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</si>
  <si>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</si>
  <si>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</si>
  <si>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</si>
  <si>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</si>
  <si>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</si>
  <si>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</si>
  <si>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</si>
  <si>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</si>
  <si>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</si>
  <si>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</si>
  <si>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</si>
  <si>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</si>
  <si>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</si>
  <si>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</si>
  <si>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</si>
  <si>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</si>
  <si>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</si>
  <si>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</si>
  <si>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</si>
  <si>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</si>
  <si>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</si>
  <si>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OTHER</t>
  </si>
  <si>
    <t>LABOR</t>
  </si>
  <si>
    <t>SGA</t>
  </si>
  <si>
    <t>OTHER2</t>
  </si>
  <si>
    <t>OTHER3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</si>
  <si>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</si>
  <si>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</si>
  <si>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</si>
  <si>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</si>
  <si>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</si>
  <si>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</si>
  <si>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</si>
  <si>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</si>
  <si>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</si>
  <si>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</si>
  <si>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</si>
  <si>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</si>
  <si>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xlobFGPlatform</t>
  </si>
  <si>
    <t>fgLOB</t>
  </si>
  <si>
    <t>dateAttribute1</t>
  </si>
  <si>
    <t>floatAttribute1</t>
  </si>
  <si>
    <t>Parent Functional Group (CFG Only)</t>
  </si>
  <si>
    <t>Functional Group (CFG Only)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</si>
  <si>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</si>
  <si>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</si>
  <si>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</si>
  <si>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</si>
  <si>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</si>
  <si>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</si>
  <si>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</si>
  <si>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</si>
  <si>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</si>
  <si>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</si>
  <si>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</si>
  <si>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</si>
  <si>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</si>
  <si>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</si>
  <si>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</si>
  <si>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</si>
  <si>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</si>
  <si>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</si>
  <si>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</si>
  <si>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</si>
  <si>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</si>
  <si>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</si>
  <si>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</si>
  <si>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</si>
  <si>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</si>
  <si>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</si>
  <si>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</si>
  <si>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</si>
  <si>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</si>
  <si>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</si>
  <si>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</si>
  <si>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</si>
  <si>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</si>
  <si>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</si>
  <si>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</si>
  <si>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</si>
  <si>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</si>
  <si>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</si>
  <si>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</si>
  <si>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</si>
  <si>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</si>
  <si>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</si>
  <si>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</si>
  <si>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</si>
  <si>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</si>
  <si>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XLOB FG Name (XWAP Only)</t>
  </si>
  <si>
    <t>XLOB Flex Platform</t>
  </si>
  <si>
    <t>XLOB Flex LOB</t>
  </si>
  <si>
    <t>Date1</t>
  </si>
  <si>
    <t>Float1</t>
  </si>
  <si>
    <t/>
  </si>
  <si>
    <t>SI,CUS,DIMM,256MB,PANASONIC</t>
  </si>
  <si>
    <t>ENTERPRISE</t>
  </si>
  <si>
    <t>PRODUCTION</t>
  </si>
  <si>
    <t>SERCOM desc</t>
  </si>
  <si>
    <t>SUPPLIER</t>
  </si>
  <si>
    <t>NL-SERCOM-USD</t>
  </si>
  <si>
    <t>USD</t>
  </si>
  <si>
    <t>N</t>
  </si>
  <si>
    <t>PENDING</t>
  </si>
  <si>
    <t>mike_quick@dell.com</t>
  </si>
  <si>
    <t>NEW PART</t>
  </si>
  <si>
    <t>MCM</t>
  </si>
  <si>
    <t>10</t>
  </si>
  <si>
    <t>EXCEL</t>
  </si>
  <si>
    <t>itemCRApprove211219181243</t>
  </si>
  <si>
    <t>WW</t>
  </si>
  <si>
    <t>APPROVED</t>
  </si>
  <si>
    <t>BUY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</si>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</sst>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#####"/>
    <numFmt numFmtId="165" formatCode="mm/dd/yyyy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0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 wrapText="1"/>
      <protection locked="0"/>
    </xf>
    <xf numFmtId="165" fontId="0" fillId="0" borderId="0" xfId="0" applyNumberFormat="1"/>
    <xf numFmtId="165" fontId="0" fillId="0" borderId="0" xfId="0" applyNumberFormat="1" applyAlignment="1">
      <alignment vertical="top"/>
    </xf>
    <xf numFmtId="0" fontId="0" fillId="0" borderId="0" xfId="0" applyNumberFormat="1" applyFont="1" applyFill="1" applyBorder="1" applyAlignment="1">
      <alignment vertical="top"/>
    </xf>
    <xf numFmtId="164" fontId="0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5034-7DA6-4E37-8BC8-D2C83BAF3B8F}">
  <dimension ref="A1:BV3"/>
  <sheetViews>
    <sheetView tabSelected="1" topLeftCell="A2" zoomScaleNormal="100" workbookViewId="0">
      <selection activeCell="F3" sqref="F3"/>
    </sheetView>
  </sheetViews>
  <sheetFormatPr defaultRowHeight="12.5" x14ac:dyDescent="0.25"/>
  <cols>
    <col min="22" max="22" width="16.453125" bestFit="1" customWidth="1"/>
    <col min="23" max="23" width="16.54296875" bestFit="1" customWidth="1"/>
  </cols>
  <sheetData>
    <row r="1" spans="1:74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2" t="s">
        <v>42</v>
      </c>
      <c r="AX1" s="2" t="s">
        <v>43</v>
      </c>
      <c r="AY1" s="2" t="s">
        <v>44</v>
      </c>
      <c r="AZ1" s="2" t="s">
        <v>45</v>
      </c>
      <c r="BA1" s="2" t="s">
        <v>46</v>
      </c>
      <c r="BB1" s="2" t="s">
        <v>47</v>
      </c>
      <c r="BC1" s="2" t="s">
        <v>48</v>
      </c>
      <c r="BD1" s="2" t="s">
        <v>49</v>
      </c>
      <c r="BE1" s="2" t="s">
        <v>50</v>
      </c>
      <c r="BF1" s="2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</row>
    <row r="2" spans="1:74" ht="50" x14ac:dyDescent="0.25">
      <c r="A2" s="2" t="s">
        <v>68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  <c r="N2" s="2" t="s">
        <v>81</v>
      </c>
      <c r="O2" s="2" t="s">
        <v>82</v>
      </c>
      <c r="P2" s="2" t="s">
        <v>83</v>
      </c>
      <c r="Q2" s="2" t="s">
        <v>84</v>
      </c>
      <c r="R2" s="2" t="s">
        <v>85</v>
      </c>
      <c r="S2" s="2" t="s">
        <v>86</v>
      </c>
      <c r="T2" s="2" t="s">
        <v>87</v>
      </c>
      <c r="U2" s="2" t="s">
        <v>88</v>
      </c>
      <c r="V2" s="2" t="s">
        <v>89</v>
      </c>
      <c r="W2" s="2" t="s">
        <v>90</v>
      </c>
      <c r="X2" s="2" t="s">
        <v>91</v>
      </c>
      <c r="Y2" s="2" t="s">
        <v>92</v>
      </c>
      <c r="Z2" s="2" t="s">
        <v>93</v>
      </c>
      <c r="AA2" s="2" t="s">
        <v>94</v>
      </c>
      <c r="AB2" s="2" t="s">
        <v>95</v>
      </c>
      <c r="AC2" s="2" t="s">
        <v>96</v>
      </c>
      <c r="AD2" s="2" t="s">
        <v>97</v>
      </c>
      <c r="AE2" s="2" t="s">
        <v>98</v>
      </c>
      <c r="AF2" s="2" t="s">
        <v>99</v>
      </c>
      <c r="AG2" s="2" t="s">
        <v>100</v>
      </c>
      <c r="AH2" s="2" t="s">
        <v>101</v>
      </c>
      <c r="AI2" s="2" t="s">
        <v>102</v>
      </c>
      <c r="AJ2" s="2" t="s">
        <v>103</v>
      </c>
      <c r="AK2" s="2" t="s">
        <v>104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98</v>
      </c>
      <c r="AQ2" s="2" t="s">
        <v>99</v>
      </c>
      <c r="AR2" s="2" t="s">
        <v>100</v>
      </c>
      <c r="AS2" s="2" t="s">
        <v>101</v>
      </c>
      <c r="AT2" s="2" t="s">
        <v>102</v>
      </c>
      <c r="AU2" s="2" t="s">
        <v>103</v>
      </c>
      <c r="AV2" s="2" t="s">
        <v>104</v>
      </c>
      <c r="AW2" s="2" t="s">
        <v>42</v>
      </c>
      <c r="AX2" s="2" t="s">
        <v>43</v>
      </c>
      <c r="AY2" s="2" t="s">
        <v>44</v>
      </c>
      <c r="AZ2" s="2" t="s">
        <v>45</v>
      </c>
      <c r="BA2" s="2" t="s">
        <v>46</v>
      </c>
      <c r="BB2" s="2" t="s">
        <v>47</v>
      </c>
      <c r="BC2" s="2" t="s">
        <v>48</v>
      </c>
      <c r="BD2" s="2" t="s">
        <v>49</v>
      </c>
      <c r="BE2" s="2" t="s">
        <v>50</v>
      </c>
      <c r="BF2" s="2" t="s">
        <v>51</v>
      </c>
      <c r="BG2" s="1" t="s">
        <v>105</v>
      </c>
      <c r="BH2" s="1" t="s">
        <v>106</v>
      </c>
      <c r="BI2" s="2" t="s">
        <v>54</v>
      </c>
      <c r="BJ2" s="2" t="s">
        <v>107</v>
      </c>
      <c r="BK2" s="2" t="s">
        <v>108</v>
      </c>
      <c r="BL2" s="2" t="s">
        <v>109</v>
      </c>
      <c r="BM2" s="2" t="s">
        <v>110</v>
      </c>
      <c r="BN2" s="1" t="s">
        <v>111</v>
      </c>
      <c r="BO2" s="1" t="s">
        <v>112</v>
      </c>
      <c r="BP2" s="1" t="s">
        <v>113</v>
      </c>
      <c r="BQ2" s="1" t="s">
        <v>114</v>
      </c>
      <c r="BR2" s="1" t="s">
        <v>115</v>
      </c>
      <c r="BS2" s="1" t="s">
        <v>116</v>
      </c>
      <c r="BT2" s="1" t="s">
        <v>117</v>
      </c>
      <c r="BU2" s="1" t="s">
        <v>118</v>
      </c>
      <c r="BV2" s="1" t="s">
        <v>119</v>
      </c>
    </row>
    <row r="3" spans="1:74" ht="37.5" x14ac:dyDescent="0.25">
      <c r="A3" s="2" t="s">
        <v>120</v>
      </c>
      <c r="B3" s="2"/>
      <c r="C3" s="2"/>
      <c r="D3" s="2" t="s">
        <v>135</v>
      </c>
      <c r="E3" s="2" t="s">
        <v>121</v>
      </c>
      <c r="F3" s="2" t="s">
        <v>139</v>
      </c>
      <c r="G3" s="2" t="s">
        <v>122</v>
      </c>
      <c r="H3" s="2" t="s">
        <v>123</v>
      </c>
      <c r="I3" s="2" t="s">
        <v>124</v>
      </c>
      <c r="J3" s="2" t="s">
        <v>125</v>
      </c>
      <c r="K3" s="5" t="s">
        <v>126</v>
      </c>
      <c r="L3" s="2"/>
      <c r="M3" s="2" t="s">
        <v>136</v>
      </c>
      <c r="N3" s="2" t="s">
        <v>120</v>
      </c>
      <c r="O3" s="2"/>
      <c r="P3" s="2">
        <v>0</v>
      </c>
      <c r="Q3" s="7" t="s">
        <v>127</v>
      </c>
      <c r="R3" s="6"/>
      <c r="S3" s="2"/>
      <c r="T3" s="8" t="s">
        <v>128</v>
      </c>
      <c r="U3" s="2" t="s">
        <v>137</v>
      </c>
      <c r="V3" s="2" t="s">
        <v>129</v>
      </c>
      <c r="W3" s="2" t="s">
        <v>120</v>
      </c>
      <c r="X3" s="7" t="s">
        <v>138</v>
      </c>
      <c r="Y3" s="2"/>
      <c r="Z3" s="2" t="s">
        <v>120</v>
      </c>
      <c r="AA3" s="2" t="s">
        <v>120</v>
      </c>
      <c r="AB3" s="2" t="s">
        <v>128</v>
      </c>
      <c r="AC3" s="9">
        <v>0</v>
      </c>
      <c r="AD3" s="3">
        <v>0</v>
      </c>
      <c r="AE3" s="9">
        <f>ROUND(AF3/100*AG3,6)+ROUND(AH3/100*AI3,6)+ROUND(AJ3/100*AK3,6)</f>
        <v>0</v>
      </c>
      <c r="AF3" s="3">
        <v>0</v>
      </c>
      <c r="AG3" s="4">
        <v>0</v>
      </c>
      <c r="AH3" s="3">
        <v>0</v>
      </c>
      <c r="AI3" s="4">
        <v>0</v>
      </c>
      <c r="AJ3" s="3">
        <v>0</v>
      </c>
      <c r="AK3" s="4">
        <v>0</v>
      </c>
      <c r="AL3" s="3">
        <v>0</v>
      </c>
      <c r="AM3" s="3">
        <v>0</v>
      </c>
      <c r="AN3" s="3">
        <v>0</v>
      </c>
      <c r="AO3" s="3">
        <v>0</v>
      </c>
      <c r="AP3" s="9">
        <f>ROUND(AQ3/100*AR3,6)+ROUND(AS3/100*AT3,6)+ROUND(AU3/100*AV3,6)</f>
        <v>0</v>
      </c>
      <c r="AQ3" s="3"/>
      <c r="AR3" s="4"/>
      <c r="AS3" s="3"/>
      <c r="AT3" s="4"/>
      <c r="AU3" s="3"/>
      <c r="AV3" s="4"/>
      <c r="AW3" s="3">
        <v>0</v>
      </c>
      <c r="AX3" s="3">
        <v>0</v>
      </c>
      <c r="AY3" s="3">
        <v>0</v>
      </c>
      <c r="AZ3" s="3"/>
      <c r="BA3" s="3"/>
      <c r="BB3" s="3">
        <v>0</v>
      </c>
      <c r="BC3" s="3">
        <v>0</v>
      </c>
      <c r="BD3" s="3">
        <v>0</v>
      </c>
      <c r="BE3" s="3"/>
      <c r="BF3" s="3"/>
      <c r="BG3" s="2" t="s">
        <v>130</v>
      </c>
      <c r="BH3" s="2" t="s">
        <v>120</v>
      </c>
      <c r="BI3" s="2"/>
      <c r="BJ3" s="2" t="s">
        <v>131</v>
      </c>
      <c r="BK3" s="2"/>
      <c r="BL3" s="2"/>
      <c r="BM3" s="2" t="s">
        <v>132</v>
      </c>
      <c r="BN3" s="1"/>
      <c r="BO3" s="1" t="s">
        <v>133</v>
      </c>
      <c r="BP3" s="1" t="s">
        <v>134</v>
      </c>
      <c r="BQ3" s="1"/>
      <c r="BR3" s="1" t="s">
        <v>120</v>
      </c>
      <c r="BS3" s="1" t="s">
        <v>120</v>
      </c>
      <c r="BT3" s="1" t="s">
        <v>120</v>
      </c>
      <c r="BU3" s="1"/>
      <c r="BV3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Parameswaran Mohanakumari</dc:creator>
  <cp:lastModifiedBy>Kumaraswamy</cp:lastModifiedBy>
  <dcterms:created xsi:type="dcterms:W3CDTF">2021-12-20T06:54:59Z</dcterms:created>
  <dcterms:modified xsi:type="dcterms:W3CDTF">2026-03-10T07:27:05Z</dcterms:modified>
</cp:coreProperties>
</file>