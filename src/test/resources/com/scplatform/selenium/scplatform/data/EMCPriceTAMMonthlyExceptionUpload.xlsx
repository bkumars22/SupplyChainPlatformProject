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1C8394FE-224C-4CBB-BB41-2B002F1F22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5" i="1" l="1"/>
  <c r="AX4" i="1"/>
  <c r="AU4" i="1"/>
  <c r="AO4" i="1"/>
  <c r="AL4" i="1"/>
  <c r="AI4" i="1"/>
  <c r="AF4" i="1"/>
  <c r="AC4" i="1"/>
  <c r="Z5" i="1"/>
  <c r="W4" i="1"/>
  <c r="T4" i="1"/>
  <c r="Q4" i="1"/>
</calcChain>
</file>

<file path=xl/sharedStrings.xml><?xml version="1.0" encoding="utf-8"?>
<sst xmlns="http://schemas.openxmlformats.org/spreadsheetml/2006/main" count="164" uniqueCount="92">
  <si>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</si>
  <si>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</si>
  <si>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</si>
  <si>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</si>
  <si>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</si>
  <si>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</si>
  <si>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</si>
  <si>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</si>
  <si>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</si>
  <si>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</si>
  <si>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</si>
  <si>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</si>
  <si>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</si>
  <si>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</si>
  <si>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</si>
  <si>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</si>
  <si>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</si>
  <si>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</si>
  <si>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</si>
  <si>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</si>
  <si>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</si>
  <si>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</si>
  <si>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</si>
  <si>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>M4P</t>
  </si>
  <si>
    <t>M4T</t>
  </si>
  <si>
    <t>M4W</t>
  </si>
  <si>
    <t>M5P</t>
  </si>
  <si>
    <t>M5T</t>
  </si>
  <si>
    <t>M5W</t>
  </si>
  <si>
    <t>M6P</t>
  </si>
  <si>
    <t>M6T</t>
  </si>
  <si>
    <t>M6W</t>
  </si>
  <si>
    <t>M7P</t>
  </si>
  <si>
    <t>M7T</t>
  </si>
  <si>
    <t>M7W</t>
  </si>
  <si>
    <t>M8P</t>
  </si>
  <si>
    <t>M8T</t>
  </si>
  <si>
    <t>M8W</t>
  </si>
  <si>
    <t>M9P</t>
  </si>
  <si>
    <t>M9T</t>
  </si>
  <si>
    <t>M9W</t>
  </si>
  <si>
    <t>M10P</t>
  </si>
  <si>
    <t>M10T</t>
  </si>
  <si>
    <t>M10W</t>
  </si>
  <si>
    <t>M11P</t>
  </si>
  <si>
    <t>M11T</t>
  </si>
  <si>
    <t>M11W</t>
  </si>
  <si>
    <t>M12P</t>
  </si>
  <si>
    <t>M12T</t>
  </si>
  <si>
    <t>M12W</t>
  </si>
  <si>
    <t/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</si>
  <si>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</si>
  <si>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</si>
  <si>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</si>
  <si>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</si>
  <si>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</si>
  <si>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</si>
  <si>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</si>
  <si>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</si>
  <si>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</si>
  <si>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</si>
  <si>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</si>
  <si>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</si>
  <si>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</si>
  <si>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</si>
  <si>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</si>
  <si>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</si>
  <si>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</si>
  <si>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</si>
  <si>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</si>
  <si>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XLOB</t>
  </si>
  <si>
    <t>BUY</t>
  </si>
  <si>
    <t>WW</t>
  </si>
  <si>
    <t>ALL</t>
  </si>
  <si>
    <t>EMCPriceTAM210602144444</t>
  </si>
  <si>
    <t>XLOBPriceTAM210602144415</t>
  </si>
  <si>
    <t>S.E.L. PRINT</t>
  </si>
  <si>
    <t>Y</t>
  </si>
  <si>
    <t>MPN1</t>
  </si>
  <si>
    <t>MPN2</t>
  </si>
  <si>
    <t>FY2022FQ02FM06
(M1)
26 Jun 2021</t>
  </si>
  <si>
    <t>FY2022FQ03FM07
(M2)
31 Jul 2021</t>
  </si>
  <si>
    <t>FY2022FQ03FM08
(M3)
28 Aug 2021</t>
  </si>
  <si>
    <t>FY2022FQ03FM09
(M4)
25 Sep 2021</t>
  </si>
  <si>
    <t>FY2022FQ04FM10
(M5)
30 Oct 2021</t>
  </si>
  <si>
    <t>FY2022FQ04FM11
(M6)
27 Nov 2021</t>
  </si>
  <si>
    <t>FY2022FQ04FM12
(M7)
25 Dec 2021</t>
  </si>
  <si>
    <t>FY2023FQ01FM01
(M8)
29 Jan 2022</t>
  </si>
  <si>
    <t>FY2023FQ01FM02
(M9)
26 Feb 2022</t>
  </si>
  <si>
    <t>FY2023FQ01FM03
(M10)
26 Mar 2022</t>
  </si>
  <si>
    <t>FY2023FQ02FM04
(M11)
30 Apr 2022</t>
  </si>
  <si>
    <t>FY2023FQ02FM05
(M12)
28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</si>
</sst>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"/>
  <sheetViews>
    <sheetView tabSelected="1" topLeftCell="H2" workbookViewId="0">
      <selection activeCell="L14" sqref="L14"/>
    </sheetView>
  </sheetViews>
  <sheetFormatPr defaultColWidth="9" defaultRowHeight="14.4" x14ac:dyDescent="0.3"/>
  <cols>
    <col min="1" max="1" width="24.88671875" bestFit="1" customWidth="1"/>
    <col min="2" max="2" width="17.44140625" bestFit="1" customWidth="1"/>
    <col min="3" max="3" width="21.88671875" bestFit="1" customWidth="1"/>
    <col min="4" max="4" width="16.109375" bestFit="1" customWidth="1"/>
    <col min="5" max="5" width="16.6640625" bestFit="1" customWidth="1"/>
    <col min="6" max="6" width="25.5546875" bestFit="1" customWidth="1"/>
    <col min="7" max="7" width="7.44140625" bestFit="1" customWidth="1"/>
    <col min="8" max="8" width="8.109375" bestFit="1" customWidth="1"/>
    <col min="10" max="10" width="18.44140625" bestFit="1" customWidth="1"/>
    <col min="11" max="11" width="8.21875" bestFit="1" customWidth="1"/>
    <col min="12" max="12" width="18.44140625" bestFit="1" customWidth="1"/>
    <col min="13" max="13" width="11.33203125" bestFit="1" customWidth="1"/>
    <col min="14" max="14" width="28.44140625" bestFit="1" customWidth="1"/>
    <col min="15" max="15" width="5" bestFit="1" customWidth="1"/>
    <col min="16" max="16" width="4.77734375" bestFit="1" customWidth="1"/>
    <col min="17" max="17" width="5.44140625" bestFit="1" customWidth="1"/>
    <col min="18" max="18" width="5" bestFit="1" customWidth="1"/>
    <col min="19" max="19" width="4.77734375" bestFit="1" customWidth="1"/>
    <col min="20" max="20" width="5.44140625" bestFit="1" customWidth="1"/>
    <col min="21" max="21" width="5" bestFit="1" customWidth="1"/>
    <col min="22" max="22" width="4.77734375" bestFit="1" customWidth="1"/>
    <col min="23" max="23" width="5.44140625" bestFit="1" customWidth="1"/>
    <col min="24" max="24" width="5" bestFit="1" customWidth="1"/>
    <col min="25" max="25" width="4.77734375" bestFit="1" customWidth="1"/>
    <col min="26" max="26" width="5.44140625" bestFit="1" customWidth="1"/>
    <col min="27" max="27" width="5" bestFit="1" customWidth="1"/>
    <col min="28" max="28" width="4.77734375" bestFit="1" customWidth="1"/>
    <col min="29" max="29" width="5.44140625" bestFit="1" customWidth="1"/>
    <col min="30" max="30" width="5" bestFit="1" customWidth="1"/>
    <col min="31" max="31" width="4.77734375" bestFit="1" customWidth="1"/>
    <col min="32" max="32" width="5.44140625" bestFit="1" customWidth="1"/>
    <col min="33" max="33" width="5" bestFit="1" customWidth="1"/>
    <col min="34" max="34" width="4.77734375" bestFit="1" customWidth="1"/>
    <col min="35" max="35" width="5.44140625" bestFit="1" customWidth="1"/>
    <col min="36" max="36" width="5" bestFit="1" customWidth="1"/>
    <col min="37" max="37" width="4.77734375" bestFit="1" customWidth="1"/>
    <col min="38" max="38" width="5.44140625" bestFit="1" customWidth="1"/>
    <col min="39" max="39" width="5" bestFit="1" customWidth="1"/>
    <col min="40" max="40" width="4.77734375" bestFit="1" customWidth="1"/>
    <col min="41" max="41" width="5.44140625" bestFit="1" customWidth="1"/>
    <col min="42" max="43" width="5.6640625" bestFit="1" customWidth="1"/>
    <col min="44" max="44" width="6.44140625" bestFit="1" customWidth="1"/>
    <col min="45" max="46" width="5.6640625" bestFit="1" customWidth="1"/>
    <col min="47" max="47" width="6.44140625" bestFit="1" customWidth="1"/>
    <col min="48" max="49" width="5.6640625" bestFit="1" customWidth="1"/>
    <col min="50" max="50" width="6.44140625" bestFit="1" customWidth="1"/>
  </cols>
  <sheetData>
    <row r="1" spans="1:50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</row>
    <row r="2" spans="1:50" ht="49.95" customHeight="1" x14ac:dyDescent="0.3">
      <c r="O2" s="67" t="s">
        <v>80</v>
      </c>
      <c r="P2" s="67" t="s">
        <v>50</v>
      </c>
      <c r="Q2" s="67" t="s">
        <v>50</v>
      </c>
      <c r="R2" s="67" t="s">
        <v>81</v>
      </c>
      <c r="S2" s="67" t="s">
        <v>50</v>
      </c>
      <c r="T2" s="67" t="s">
        <v>50</v>
      </c>
      <c r="U2" s="67" t="s">
        <v>82</v>
      </c>
      <c r="V2" s="67" t="s">
        <v>50</v>
      </c>
      <c r="W2" s="67" t="s">
        <v>50</v>
      </c>
      <c r="X2" s="68" t="s">
        <v>83</v>
      </c>
      <c r="Y2" s="68" t="s">
        <v>50</v>
      </c>
      <c r="Z2" s="68" t="s">
        <v>50</v>
      </c>
      <c r="AA2" s="68" t="s">
        <v>84</v>
      </c>
      <c r="AB2" s="68" t="s">
        <v>50</v>
      </c>
      <c r="AC2" s="68" t="s">
        <v>50</v>
      </c>
      <c r="AD2" s="68" t="s">
        <v>85</v>
      </c>
      <c r="AE2" s="68" t="s">
        <v>50</v>
      </c>
      <c r="AF2" s="68" t="s">
        <v>50</v>
      </c>
      <c r="AG2" s="68" t="s">
        <v>86</v>
      </c>
      <c r="AH2" s="68" t="s">
        <v>50</v>
      </c>
      <c r="AI2" s="68" t="s">
        <v>50</v>
      </c>
      <c r="AJ2" s="68" t="s">
        <v>87</v>
      </c>
      <c r="AK2" s="68" t="s">
        <v>50</v>
      </c>
      <c r="AL2" s="68" t="s">
        <v>50</v>
      </c>
      <c r="AM2" s="68" t="s">
        <v>88</v>
      </c>
      <c r="AN2" s="68" t="s">
        <v>50</v>
      </c>
      <c r="AO2" s="68" t="s">
        <v>50</v>
      </c>
      <c r="AP2" s="68" t="s">
        <v>89</v>
      </c>
      <c r="AQ2" s="68" t="s">
        <v>50</v>
      </c>
      <c r="AR2" s="68" t="s">
        <v>50</v>
      </c>
      <c r="AS2" s="68" t="s">
        <v>90</v>
      </c>
      <c r="AT2" s="68" t="s">
        <v>50</v>
      </c>
      <c r="AU2" s="68" t="s">
        <v>50</v>
      </c>
      <c r="AV2" s="68" t="s">
        <v>91</v>
      </c>
      <c r="AW2" s="68" t="s">
        <v>50</v>
      </c>
      <c r="AX2" s="68" t="s">
        <v>50</v>
      </c>
    </row>
    <row r="3" spans="1:50" x14ac:dyDescent="0.3">
      <c r="A3" s="51" t="s">
        <v>51</v>
      </c>
      <c r="B3" s="52" t="s">
        <v>52</v>
      </c>
      <c r="C3" s="53" t="s">
        <v>53</v>
      </c>
      <c r="D3" s="54" t="s">
        <v>54</v>
      </c>
      <c r="E3" s="55" t="s">
        <v>55</v>
      </c>
      <c r="F3" s="56" t="s">
        <v>56</v>
      </c>
      <c r="G3" s="57" t="s">
        <v>57</v>
      </c>
      <c r="H3" s="58" t="s">
        <v>58</v>
      </c>
      <c r="I3" s="59" t="s">
        <v>59</v>
      </c>
      <c r="J3" s="60" t="s">
        <v>60</v>
      </c>
      <c r="K3" s="61" t="s">
        <v>61</v>
      </c>
      <c r="L3" s="62" t="s">
        <v>62</v>
      </c>
      <c r="M3" s="63" t="s">
        <v>63</v>
      </c>
      <c r="N3" s="64" t="s">
        <v>64</v>
      </c>
      <c r="O3" s="65" t="s">
        <v>65</v>
      </c>
      <c r="P3" s="65" t="s">
        <v>66</v>
      </c>
      <c r="Q3" s="65" t="s">
        <v>67</v>
      </c>
      <c r="R3" s="65" t="s">
        <v>65</v>
      </c>
      <c r="S3" s="65" t="s">
        <v>66</v>
      </c>
      <c r="T3" s="65" t="s">
        <v>67</v>
      </c>
      <c r="U3" s="65" t="s">
        <v>65</v>
      </c>
      <c r="V3" s="65" t="s">
        <v>66</v>
      </c>
      <c r="W3" s="65" t="s">
        <v>67</v>
      </c>
      <c r="X3" s="66" t="s">
        <v>65</v>
      </c>
      <c r="Y3" s="66" t="s">
        <v>66</v>
      </c>
      <c r="Z3" s="66" t="s">
        <v>67</v>
      </c>
      <c r="AA3" s="66" t="s">
        <v>65</v>
      </c>
      <c r="AB3" s="66" t="s">
        <v>66</v>
      </c>
      <c r="AC3" s="66" t="s">
        <v>67</v>
      </c>
      <c r="AD3" s="66" t="s">
        <v>65</v>
      </c>
      <c r="AE3" s="66" t="s">
        <v>66</v>
      </c>
      <c r="AF3" s="66" t="s">
        <v>67</v>
      </c>
      <c r="AG3" s="66" t="s">
        <v>65</v>
      </c>
      <c r="AH3" s="66" t="s">
        <v>66</v>
      </c>
      <c r="AI3" s="66" t="s">
        <v>67</v>
      </c>
      <c r="AJ3" s="66" t="s">
        <v>65</v>
      </c>
      <c r="AK3" s="66" t="s">
        <v>66</v>
      </c>
      <c r="AL3" s="66" t="s">
        <v>67</v>
      </c>
      <c r="AM3" s="66" t="s">
        <v>65</v>
      </c>
      <c r="AN3" s="66" t="s">
        <v>66</v>
      </c>
      <c r="AO3" s="66" t="s">
        <v>67</v>
      </c>
      <c r="AP3" s="66" t="s">
        <v>65</v>
      </c>
      <c r="AQ3" s="66" t="s">
        <v>66</v>
      </c>
      <c r="AR3" s="66" t="s">
        <v>67</v>
      </c>
      <c r="AS3" s="66" t="s">
        <v>65</v>
      </c>
      <c r="AT3" s="66" t="s">
        <v>66</v>
      </c>
      <c r="AU3" s="66" t="s">
        <v>67</v>
      </c>
      <c r="AV3" s="66" t="s">
        <v>65</v>
      </c>
      <c r="AW3" s="66" t="s">
        <v>66</v>
      </c>
      <c r="AX3" s="66" t="s">
        <v>67</v>
      </c>
    </row>
    <row r="4" spans="1:50" x14ac:dyDescent="0.3">
      <c r="A4" t="s">
        <v>74</v>
      </c>
      <c r="B4" t="s">
        <v>68</v>
      </c>
      <c r="C4" t="s">
        <v>69</v>
      </c>
      <c r="D4" t="s">
        <v>78</v>
      </c>
      <c r="E4" t="s">
        <v>76</v>
      </c>
      <c r="F4" t="s">
        <v>75</v>
      </c>
      <c r="G4" t="s">
        <v>70</v>
      </c>
      <c r="H4" t="s">
        <v>50</v>
      </c>
      <c r="I4" t="s">
        <v>71</v>
      </c>
      <c r="J4" t="s">
        <v>72</v>
      </c>
      <c r="K4" t="s">
        <v>72</v>
      </c>
      <c r="L4" t="s">
        <v>50</v>
      </c>
      <c r="M4" t="s">
        <v>73</v>
      </c>
      <c r="N4" t="s">
        <v>77</v>
      </c>
      <c r="O4">
        <v>34</v>
      </c>
      <c r="P4">
        <v>100</v>
      </c>
      <c r="Q4">
        <f>IFERROR(SUMPRODUCT(--($F$1:$F$2996=$F4)*($K$1:$K$2996=$K4),O$1:O$2996,P$1:P$2996)/SUMIFS(P$1:P$2996,$F$1:$F$2996,$F4,$K$1:$K$2996,$K4),"")</f>
        <v>34</v>
      </c>
      <c r="R4">
        <v>20</v>
      </c>
      <c r="S4">
        <v>100</v>
      </c>
      <c r="T4">
        <f>IFERROR(SUMPRODUCT(--($F$1:$F$2996=$F4)*($K$1:$K$2996=$K4),R$1:R$2996,S$1:S$2996)/SUMIFS(S$1:S$2996,$F$1:$F$2996,$F4,$K$1:$K$2996,$K4),"")</f>
        <v>20</v>
      </c>
      <c r="U4">
        <v>45.4</v>
      </c>
      <c r="V4">
        <v>100</v>
      </c>
      <c r="W4">
        <f>IFERROR(SUMPRODUCT(--($F$1:$F$2996=$F4)*($K$1:$K$2996=$K4),U$1:U$2996,V$1:V$2996)/SUMIFS(V$1:V$2996,$F$1:$F$2996,$F4,$K$1:$K$2996,$K4),"")</f>
        <v>45.4</v>
      </c>
      <c r="X4">
        <v>0</v>
      </c>
      <c r="Y4">
        <v>0</v>
      </c>
      <c r="Z4">
        <v>0</v>
      </c>
      <c r="AA4">
        <v>34</v>
      </c>
      <c r="AB4">
        <v>100</v>
      </c>
      <c r="AC4">
        <f>IFERROR(SUMPRODUCT(--($F$1:$F$2996=$F4)*($K$1:$K$2996=$K4),AA$1:AA$2996,AB$1:AB$2996)/SUMIFS(AB$1:AB$2996,$F$1:$F$2996,$F4,$K$1:$K$2996,$K4),"")</f>
        <v>34</v>
      </c>
      <c r="AD4">
        <v>34</v>
      </c>
      <c r="AE4">
        <v>100</v>
      </c>
      <c r="AF4">
        <f>IFERROR(SUMPRODUCT(--($F$1:$F$2996=$F4)*($K$1:$K$2996=$K4),AD$1:AD$2996,AE$1:AE$2996)/SUMIFS(AE$1:AE$2996,$F$1:$F$2996,$F4,$K$1:$K$2996,$K4),"")</f>
        <v>34</v>
      </c>
      <c r="AG4">
        <v>56</v>
      </c>
      <c r="AH4">
        <v>100</v>
      </c>
      <c r="AI4">
        <f>IFERROR(SUMPRODUCT(--($F$1:$F$2996=$F4)*($K$1:$K$2996=$K4),AG$1:AG$2996,AH$1:AH$2996)/SUMIFS(AH$1:AH$2996,$F$1:$F$2996,$F4,$K$1:$K$2996,$K4),"")</f>
        <v>56</v>
      </c>
      <c r="AJ4">
        <v>56</v>
      </c>
      <c r="AK4">
        <v>100</v>
      </c>
      <c r="AL4">
        <f>IFERROR(SUMPRODUCT(--($F$1:$F$2996=$F4)*($K$1:$K$2996=$K4),AJ$1:AJ$2996,AK$1:AK$2996)/SUMIFS(AK$1:AK$2996,$F$1:$F$2996,$F4,$K$1:$K$2996,$K4),"")</f>
        <v>56</v>
      </c>
      <c r="AM4">
        <v>56</v>
      </c>
      <c r="AN4">
        <v>100</v>
      </c>
      <c r="AO4">
        <f>IFERROR(SUMPRODUCT(--($F$1:$F$2996=$F4)*($K$1:$K$2996=$K4),AM$1:AM$2996,AN$1:AN$2996)/SUMIFS(AN$1:AN$2996,$F$1:$F$2996,$F4,$K$1:$K$2996,$K4),"")</f>
        <v>56</v>
      </c>
      <c r="AP4">
        <v>0</v>
      </c>
      <c r="AQ4">
        <v>0</v>
      </c>
      <c r="AR4">
        <v>0</v>
      </c>
      <c r="AS4">
        <v>45</v>
      </c>
      <c r="AT4">
        <v>100</v>
      </c>
      <c r="AU4">
        <f>IFERROR(SUMPRODUCT(--($F$1:$F$2996=$F4)*($K$1:$K$2996=$K4),AS$1:AS$2996,AT$1:AT$2996)/SUMIFS(AT$1:AT$2996,$F$1:$F$2996,$F4,$K$1:$K$2996,$K4),"")</f>
        <v>45</v>
      </c>
      <c r="AV4">
        <v>45</v>
      </c>
      <c r="AW4">
        <v>100</v>
      </c>
      <c r="AX4">
        <f>IFERROR(SUMPRODUCT(--($F$1:$F$2996=$F4)*($K$1:$K$2996=$K4),AV$1:AV$2996,AW$1:AW$2996)/SUMIFS(AW$1:AW$2996,$F$1:$F$2996,$F4,$K$1:$K$2996,$K4),"")</f>
        <v>45</v>
      </c>
    </row>
    <row r="5" spans="1:50" s="50" customFormat="1" x14ac:dyDescent="0.3">
      <c r="A5" s="50" t="s">
        <v>74</v>
      </c>
      <c r="B5" s="50" t="s">
        <v>68</v>
      </c>
      <c r="C5" s="50" t="s">
        <v>69</v>
      </c>
      <c r="D5" s="50" t="s">
        <v>79</v>
      </c>
      <c r="E5" s="50" t="s">
        <v>76</v>
      </c>
      <c r="F5" s="50" t="s">
        <v>75</v>
      </c>
      <c r="G5" s="50" t="s">
        <v>70</v>
      </c>
      <c r="H5" s="50" t="s">
        <v>50</v>
      </c>
      <c r="I5" s="50" t="s">
        <v>71</v>
      </c>
      <c r="J5" s="50" t="s">
        <v>72</v>
      </c>
      <c r="K5" s="50" t="s">
        <v>72</v>
      </c>
      <c r="L5" s="50" t="s">
        <v>50</v>
      </c>
      <c r="M5" s="50" t="s">
        <v>73</v>
      </c>
      <c r="N5" s="50" t="s">
        <v>77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>
        <v>34</v>
      </c>
      <c r="Y5">
        <v>100</v>
      </c>
      <c r="Z5">
        <f>IFERROR(SUMPRODUCT(--($F$1:$F$2996=$F4)*($K$1:$K$2996=$K4),X$1:X$2996,Y$1:Y$2996)/SUMIFS(Y$1:Y$2996,$F$1:$F$2996,$F4,$K$1:$K$2996,$K4),"")</f>
        <v>34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0">
        <v>0</v>
      </c>
      <c r="AO5" s="50">
        <v>0</v>
      </c>
      <c r="AP5" s="50">
        <v>56</v>
      </c>
      <c r="AQ5" s="50">
        <v>100</v>
      </c>
      <c r="AR5" s="50">
        <f>IFERROR(SUMPRODUCT(--($F$1:$F$2996=$F5)*($K$1:$K$2996=$K5),AP$1:AP$2996,AQ$1:AQ$2996)/SUMIFS(AQ$1:AQ$2996,$F$1:$F$2996,$F5,$K$1:$K$2996,$K5),"")</f>
        <v>56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50">
        <v>0</v>
      </c>
    </row>
  </sheetData>
  <mergeCells count="12">
    <mergeCell ref="AS2:AU2"/>
    <mergeCell ref="AV2:AX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2021-05-29T10:47:59Z</dcterms:created>
  <dcterms:modified xsi:type="dcterms:W3CDTF">2021-06-28T07:05:04Z</dcterms:modified>
</cp:coreProperties>
</file>