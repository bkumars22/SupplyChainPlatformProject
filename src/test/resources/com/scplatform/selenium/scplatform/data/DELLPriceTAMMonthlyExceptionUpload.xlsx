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BEDEAE4B-B7B2-42A7-80AA-CDA4B862CF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Q4" i="1"/>
</calcChain>
</file>

<file path=xl/sharedStrings.xml><?xml version="1.0" encoding="utf-8"?>
<sst xmlns="http://schemas.openxmlformats.org/spreadsheetml/2006/main" count="83" uniqueCount="56">
  <si>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</si>
  <si>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</si>
  <si>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</si>
  <si>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</si>
  <si>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</si>
  <si>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</si>
  <si>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</si>
  <si>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</si>
  <si>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</si>
  <si>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</si>
  <si>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</si>
  <si>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</si>
  <si>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</si>
  <si>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</si>
  <si>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</si>
  <si>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</si>
  <si>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</si>
  <si>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</si>
  <si>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</si>
  <si>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</si>
  <si>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</si>
  <si>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</si>
  <si>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</si>
  <si>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</si>
  <si>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</si>
  <si>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</si>
  <si>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</si>
  <si>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</si>
  <si>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</si>
  <si>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</si>
  <si>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</si>
  <si>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</si>
  <si>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</si>
  <si>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</si>
  <si>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</si>
  <si>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</si>
  <si>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</si>
  <si>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</si>
  <si>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</si>
  <si>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</si>
  <si>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</si>
  <si>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</si>
  <si>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</si>
  <si>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</si>
  <si>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</si>
  <si>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</si>
  <si>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SERCOM desc</t>
  </si>
  <si>
    <t>ALL</t>
  </si>
  <si>
    <t>MPN1</t>
  </si>
  <si>
    <t>DELLPriceTAM210608104836</t>
  </si>
  <si>
    <t>DELLXLOBPriceTAM210608104808</t>
  </si>
  <si>
    <t>Y</t>
  </si>
  <si>
    <t>MPN2</t>
  </si>
  <si>
    <t>FY2022FQ02FM06
(M1)
26 Jun 2021</t>
  </si>
  <si>
    <t>FY2022FQ03FM07
(M2)
31 Jul 2021</t>
  </si>
  <si>
    <t>FY2022FQ03FM08
(M3)
28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</si>
</sst>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topLeftCell="E2" workbookViewId="0">
      <selection activeCell="S11" sqref="S11"/>
    </sheetView>
  </sheetViews>
  <sheetFormatPr defaultRowHeight="14.4" x14ac:dyDescent="0.3"/>
  <cols>
    <col min="1" max="1" width="21" bestFit="1" customWidth="1"/>
    <col min="2" max="2" width="17.44140625" bestFit="1" customWidth="1"/>
    <col min="3" max="3" width="21.88671875" bestFit="1" customWidth="1"/>
    <col min="4" max="4" width="16.109375" bestFit="1" customWidth="1"/>
    <col min="5" max="5" width="16.6640625" bestFit="1" customWidth="1"/>
    <col min="6" max="6" width="25.5546875" bestFit="1" customWidth="1"/>
    <col min="7" max="7" width="7.44140625" bestFit="1" customWidth="1"/>
    <col min="8" max="8" width="8.109375" bestFit="1" customWidth="1"/>
    <col min="9" max="9" width="9" bestFit="1" customWidth="1"/>
    <col min="10" max="10" width="18.44140625" bestFit="1" customWidth="1"/>
    <col min="11" max="11" width="8.21875" bestFit="1" customWidth="1"/>
    <col min="12" max="12" width="18.44140625" bestFit="1" customWidth="1"/>
    <col min="13" max="13" width="11.33203125" bestFit="1" customWidth="1"/>
    <col min="14" max="14" width="28.44140625" bestFit="1" customWidth="1"/>
    <col min="15" max="15" width="5" bestFit="1" customWidth="1"/>
    <col min="16" max="16" width="4.77734375" bestFit="1" customWidth="1"/>
    <col min="17" max="17" width="5.44140625" bestFit="1" customWidth="1"/>
    <col min="18" max="18" width="5" bestFit="1" customWidth="1"/>
    <col min="19" max="19" width="4.77734375" bestFit="1" customWidth="1"/>
    <col min="20" max="20" width="5.44140625" bestFit="1" customWidth="1"/>
    <col min="21" max="21" width="5" bestFit="1" customWidth="1"/>
    <col min="22" max="22" width="4.77734375" bestFit="1" customWidth="1"/>
    <col min="23" max="23" width="5.44140625" bestFit="1" customWidth="1"/>
  </cols>
  <sheetData>
    <row r="1" spans="1:23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</row>
    <row r="2" spans="1:23" ht="49.95" customHeight="1" x14ac:dyDescent="0.3">
      <c r="O2" s="39" t="s">
        <v>53</v>
      </c>
      <c r="P2" s="39" t="s">
        <v>23</v>
      </c>
      <c r="Q2" s="39" t="s">
        <v>23</v>
      </c>
      <c r="R2" s="39" t="s">
        <v>54</v>
      </c>
      <c r="S2" s="39" t="s">
        <v>23</v>
      </c>
      <c r="T2" s="39" t="s">
        <v>23</v>
      </c>
      <c r="U2" s="39" t="s">
        <v>55</v>
      </c>
      <c r="V2" s="39" t="s">
        <v>23</v>
      </c>
      <c r="W2" s="39" t="s">
        <v>23</v>
      </c>
    </row>
    <row r="3" spans="1:23" x14ac:dyDescent="0.3">
      <c r="A3" s="24" t="s">
        <v>24</v>
      </c>
      <c r="B3" s="25" t="s">
        <v>25</v>
      </c>
      <c r="C3" s="26" t="s">
        <v>26</v>
      </c>
      <c r="D3" s="27" t="s">
        <v>27</v>
      </c>
      <c r="E3" s="28" t="s">
        <v>28</v>
      </c>
      <c r="F3" s="29" t="s">
        <v>29</v>
      </c>
      <c r="G3" s="30" t="s">
        <v>30</v>
      </c>
      <c r="H3" s="31" t="s">
        <v>31</v>
      </c>
      <c r="I3" s="32" t="s">
        <v>32</v>
      </c>
      <c r="J3" s="33" t="s">
        <v>33</v>
      </c>
      <c r="K3" s="34" t="s">
        <v>34</v>
      </c>
      <c r="L3" s="35" t="s">
        <v>35</v>
      </c>
      <c r="M3" s="36" t="s">
        <v>36</v>
      </c>
      <c r="N3" s="37" t="s">
        <v>37</v>
      </c>
      <c r="O3" s="38" t="s">
        <v>38</v>
      </c>
      <c r="P3" s="38" t="s">
        <v>39</v>
      </c>
      <c r="Q3" s="38" t="s">
        <v>40</v>
      </c>
      <c r="R3" s="38" t="s">
        <v>38</v>
      </c>
      <c r="S3" s="38" t="s">
        <v>39</v>
      </c>
      <c r="T3" s="38" t="s">
        <v>40</v>
      </c>
      <c r="U3" s="38" t="s">
        <v>38</v>
      </c>
      <c r="V3" s="38" t="s">
        <v>39</v>
      </c>
      <c r="W3" s="38" t="s">
        <v>40</v>
      </c>
    </row>
    <row r="4" spans="1:23" x14ac:dyDescent="0.3">
      <c r="A4" t="s">
        <v>49</v>
      </c>
      <c r="B4" t="s">
        <v>41</v>
      </c>
      <c r="C4" t="s">
        <v>42</v>
      </c>
      <c r="D4" t="s">
        <v>48</v>
      </c>
      <c r="E4" t="s">
        <v>46</v>
      </c>
      <c r="F4" t="s">
        <v>50</v>
      </c>
      <c r="G4" t="s">
        <v>43</v>
      </c>
      <c r="H4" t="s">
        <v>23</v>
      </c>
      <c r="I4" t="s">
        <v>44</v>
      </c>
      <c r="J4" t="s">
        <v>45</v>
      </c>
      <c r="K4" t="s">
        <v>45</v>
      </c>
      <c r="L4" t="s">
        <v>23</v>
      </c>
      <c r="M4" t="s">
        <v>47</v>
      </c>
      <c r="N4" t="s">
        <v>51</v>
      </c>
      <c r="O4">
        <v>34</v>
      </c>
      <c r="P4">
        <v>100</v>
      </c>
      <c r="Q4">
        <f>IFERROR(SUMPRODUCT(--($F$1:$F$2998=$F4)*($K$1:$K$2998=$K4),O$1:O$2998,P$1:P$2998)/SUMIFS(P$1:P$2998,$F$1:$F$2998,$F4,$K$1:$K$2998,$K4),"")</f>
        <v>34</v>
      </c>
      <c r="R4">
        <v>0</v>
      </c>
      <c r="S4">
        <v>0</v>
      </c>
      <c r="T4">
        <v>0</v>
      </c>
      <c r="U4">
        <v>45.4</v>
      </c>
      <c r="V4">
        <v>100</v>
      </c>
      <c r="W4">
        <f>IFERROR(SUMPRODUCT(--($F$1:$F$2998=$F4)*($K$1:$K$2998=$K4),U$1:U$2998,V$1:V$2998)/SUMIFS(V$1:V$2998,$F$1:$F$2998,$F4,$K$1:$K$2998,$K4),"")</f>
        <v>45.4</v>
      </c>
    </row>
    <row r="5" spans="1:23" s="23" customFormat="1" x14ac:dyDescent="0.3">
      <c r="A5" s="23" t="s">
        <v>49</v>
      </c>
      <c r="B5" s="23" t="s">
        <v>41</v>
      </c>
      <c r="C5" s="23" t="s">
        <v>42</v>
      </c>
      <c r="D5" s="23" t="s">
        <v>52</v>
      </c>
      <c r="E5" s="23" t="s">
        <v>46</v>
      </c>
      <c r="F5" s="23" t="s">
        <v>50</v>
      </c>
      <c r="G5" s="23" t="s">
        <v>43</v>
      </c>
      <c r="H5" s="23" t="s">
        <v>23</v>
      </c>
      <c r="I5" s="23" t="s">
        <v>44</v>
      </c>
      <c r="J5" s="23" t="s">
        <v>45</v>
      </c>
      <c r="K5" s="23" t="s">
        <v>45</v>
      </c>
      <c r="L5" s="23" t="s">
        <v>23</v>
      </c>
      <c r="M5" s="23" t="s">
        <v>47</v>
      </c>
      <c r="N5" s="23" t="s">
        <v>51</v>
      </c>
      <c r="O5" s="23">
        <v>0</v>
      </c>
      <c r="P5" s="23">
        <v>0</v>
      </c>
      <c r="Q5" s="23">
        <v>0</v>
      </c>
      <c r="R5" s="23">
        <v>40</v>
      </c>
      <c r="S5" s="23">
        <v>100</v>
      </c>
      <c r="T5" s="23">
        <v>40</v>
      </c>
      <c r="U5" s="23">
        <v>0</v>
      </c>
      <c r="V5" s="23">
        <v>0</v>
      </c>
      <c r="W5" s="23">
        <v>0</v>
      </c>
    </row>
  </sheetData>
  <mergeCells count="3"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2021-06-28T07:03:54Z</dcterms:modified>
</cp:coreProperties>
</file>